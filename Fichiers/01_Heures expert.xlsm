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ocuments\GitHub\ExpHeuresFR\Fichiers\"/>
    </mc:Choice>
  </mc:AlternateContent>
  <xr:revisionPtr revIDLastSave="0" documentId="13_ncr:1_{918546CA-6931-4F87-99CB-225582581A84}" xr6:coauthVersionLast="47" xr6:coauthVersionMax="47" xr10:uidLastSave="{00000000-0000-0000-0000-000000000000}"/>
  <bookViews>
    <workbookView xWindow="-120" yWindow="-120" windowWidth="38640" windowHeight="15990" activeTab="1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Paramètres!$C$12</definedName>
    <definedName name="BanqueExp">Paramètres!$B$12</definedName>
    <definedName name="Benef">Paramètres!#REF!</definedName>
    <definedName name="ComplEntre">Paramètres!#REF!</definedName>
    <definedName name="ComplExp">Paramètres!#REF!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KMsDeA_1">Annexe!$G$10</definedName>
    <definedName name="DeplKMsDeA_2">Annexe!$G$11</definedName>
    <definedName name="DeplTP">Annexe!$H$20</definedName>
    <definedName name="EmplNom">Paramètres!$C$3</definedName>
    <definedName name="ExaType">Paramètres!#REF!</definedName>
    <definedName name="ExaTypeFact">Annexe!$K$7</definedName>
    <definedName name="ExpNom">Paramètres!$B$3</definedName>
    <definedName name="FraisPark">Annexe!$I$20</definedName>
    <definedName name="IbanEntre">Paramètres!$C$13</definedName>
    <definedName name="IbanExp">Paramètres!$B$13</definedName>
    <definedName name="NbrRepas">Annexe!$J$20</definedName>
    <definedName name="NpaEntre">Paramètres!$C$10</definedName>
    <definedName name="NpaExp">Paramètres!$B$10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ignature">Paramètres!#REF!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Paramètres!$C$11</definedName>
    <definedName name="TelExp">Paramètres!$B$11</definedName>
    <definedName name="TotCorrH">Annexe!$E$20</definedName>
    <definedName name="TotDivers">Annexe!$K$20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Paramètres!$E$6:$E$10</definedName>
    <definedName name="TypeExa">Paramètres!$E$2:$E$5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5" l="1"/>
  <c r="K15" i="1"/>
  <c r="K16" i="1"/>
  <c r="K17" i="1"/>
  <c r="K18" i="1"/>
  <c r="I15" i="1"/>
  <c r="I16" i="1"/>
  <c r="I17" i="1"/>
  <c r="I18" i="1"/>
  <c r="G10" i="1" a="1"/>
  <c r="G10" i="1" s="1"/>
  <c r="G9" i="1" a="1"/>
  <c r="G9" i="1" s="1"/>
  <c r="G11" i="1" s="1" a="1"/>
  <c r="G11" i="1" s="1"/>
  <c r="A10" i="1" a="1"/>
  <c r="J16" i="1"/>
  <c r="J17" i="1"/>
  <c r="J18" i="1"/>
  <c r="F16" i="1"/>
  <c r="F17" i="1"/>
  <c r="F18" i="1"/>
  <c r="E16" i="1"/>
  <c r="E17" i="1"/>
  <c r="E18" i="1"/>
  <c r="D16" i="1"/>
  <c r="D17" i="1"/>
  <c r="D18" i="1"/>
  <c r="C16" i="1"/>
  <c r="C17" i="1"/>
  <c r="C18" i="1"/>
  <c r="B16" i="1"/>
  <c r="B17" i="1"/>
  <c r="B18" i="1"/>
  <c r="K11" i="1" l="1"/>
  <c r="K13" i="1"/>
  <c r="K12" i="1"/>
  <c r="K14" i="1"/>
  <c r="A10" i="1"/>
  <c r="K10" i="1" s="1"/>
  <c r="I11" i="1"/>
  <c r="I12" i="1"/>
  <c r="I13" i="1"/>
  <c r="I14" i="1"/>
  <c r="E15" i="1"/>
  <c r="C15" i="1"/>
  <c r="F15" i="1"/>
  <c r="D15" i="1"/>
  <c r="J15" i="1"/>
  <c r="B15" i="1"/>
  <c r="E14" i="1"/>
  <c r="D14" i="1"/>
  <c r="J14" i="1"/>
  <c r="B14" i="1"/>
  <c r="F14" i="1"/>
  <c r="C14" i="1"/>
  <c r="D13" i="1"/>
  <c r="C13" i="1"/>
  <c r="B13" i="1"/>
  <c r="F13" i="1"/>
  <c r="J13" i="1"/>
  <c r="E13" i="1"/>
  <c r="F12" i="1"/>
  <c r="C12" i="1"/>
  <c r="E12" i="1"/>
  <c r="B12" i="1"/>
  <c r="J12" i="1"/>
  <c r="D12" i="1"/>
  <c r="J11" i="1"/>
  <c r="D11" i="1"/>
  <c r="B11" i="1"/>
  <c r="F11" i="1"/>
  <c r="C11" i="1"/>
  <c r="E11" i="1"/>
  <c r="H20" i="1"/>
  <c r="F7" i="1"/>
  <c r="I10" i="1" l="1"/>
  <c r="K20" i="1"/>
  <c r="J10" i="1"/>
  <c r="J20" i="1" s="1"/>
  <c r="C10" i="1"/>
  <c r="C20" i="1" s="1"/>
  <c r="I20" i="1"/>
  <c r="B10" i="1"/>
  <c r="B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K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<sst xmlns="http://schemas.openxmlformats.org/spreadsheetml/2006/main" count="86" uniqueCount="80">
  <si>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</si>
  <si>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</si>
  <si>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</si>
  <si>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</si>
  <si>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</si>
  <si>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</si>
  <si>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</si>
  <si>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</si>
  <si>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</si>
  <si>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</si>
  <si>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</si>
  <si>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</si>
  <si>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</si>
  <si>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</si>
  <si>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</si>
  <si>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</si>
  <si>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</si>
  <si>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</si>
  <si>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</si>
  <si>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</si>
  <si>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</si>
  <si>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</si>
  <si>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</si>
  <si>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</si>
  <si>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</si>
  <si>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</si>
  <si>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</si>
  <si>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</si>
  <si>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</si>
  <si>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</si>
  <si>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</si>
  <si>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</si>
  <si>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</si>
  <si>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</si>
  <si>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</si>
  <si>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</si>
  <si>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</si>
  <si>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</si>
  <si>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</si>
  <si>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</si>
  <si>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</si>
  <si>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</si>
  <si>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</si>
  <si>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</si>
  <si>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</si>
  <si>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</si>
  <si>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</si>
  <si>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</si>
  <si>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</si>
  <si>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</si>
  <si>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</si>
  <si>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</si>
  <si>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</si>
  <si>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</si>
  <si>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</si>
  <si>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</si>
  <si>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</si>
  <si>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</si>
  <si>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</si>
  <si>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</si>
  <si>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</si>
  <si>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</si>
  <si>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</si>
  <si>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</si>
  <si>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</si>
  <si>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</si>
  <si>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</si>
  <si>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</si>
  <si>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</si>
  <si>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</si>
  <si>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</si>
  <si>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</si>
  <si>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</si>
  <si>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</si>
  <si>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</si>
  <si>
    <t>N° Profession</t>
  </si>
  <si>
    <t>VAE</t>
  </si>
  <si>
    <t>Parking</t>
  </si>
  <si>
    <t>Trajet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</si>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</sst>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36" fillId="0" borderId="0" applyNumberFormat="0" applyFill="0" applyBorder="0" applyAlignment="0" applyProtection="0"/>
  </cellStyleXfs>
  <cellXfs count="113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6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6" fillId="0" borderId="0" xfId="0" applyFont="1" applyAlignment="1">
      <alignment horizontal="center" vertical="center"/>
    </xf>
    <xf numFmtId="0" fontId="23" fillId="2" borderId="20" xfId="0" applyFont="1" applyFill="1" applyBorder="1" applyAlignment="1">
      <alignment horizontal="right" vertical="center" wrapText="1"/>
    </xf>
    <xf numFmtId="0" fontId="23" fillId="2" borderId="15" xfId="0" applyFont="1" applyFill="1" applyBorder="1" applyAlignment="1">
      <alignment horizontal="right" vertical="center" wrapText="1"/>
    </xf>
    <xf numFmtId="0" fontId="21" fillId="2" borderId="25" xfId="0" applyFont="1" applyFill="1" applyBorder="1" applyAlignment="1">
      <alignment horizontal="left" vertical="top"/>
    </xf>
    <xf numFmtId="0" fontId="21" fillId="2" borderId="20" xfId="0" applyFont="1" applyFill="1" applyBorder="1" applyAlignment="1">
      <alignment horizontal="right" vertical="top"/>
    </xf>
    <xf numFmtId="0" fontId="21" fillId="2" borderId="15" xfId="0" applyFont="1" applyFill="1" applyBorder="1" applyAlignment="1">
      <alignment horizontal="right" vertical="top"/>
    </xf>
    <xf numFmtId="2" fontId="16" fillId="3" borderId="26" xfId="0" applyNumberFormat="1" applyFont="1" applyFill="1" applyBorder="1" applyAlignment="1">
      <alignment horizontal="left" vertical="top"/>
    </xf>
    <xf numFmtId="2" fontId="16" fillId="3" borderId="27" xfId="0" applyNumberFormat="1" applyFont="1" applyFill="1" applyBorder="1" applyAlignment="1">
      <alignment horizontal="left" vertical="top"/>
    </xf>
    <xf numFmtId="0" fontId="22" fillId="4" borderId="19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2" borderId="29" xfId="0" applyFont="1" applyFill="1" applyBorder="1" applyAlignment="1">
      <alignment horizontal="left" vertical="center" wrapText="1"/>
    </xf>
    <xf numFmtId="0" fontId="23" fillId="2" borderId="30" xfId="0" applyFont="1" applyFill="1" applyBorder="1" applyAlignment="1">
      <alignment horizontal="left" vertical="center" wrapText="1"/>
    </xf>
    <xf numFmtId="0" fontId="16" fillId="2" borderId="13" xfId="0" applyFont="1" applyFill="1" applyBorder="1" applyAlignment="1">
      <alignment horizontal="left" vertical="top"/>
    </xf>
    <xf numFmtId="0" fontId="26" fillId="0" borderId="0" xfId="1" applyFont="1"/>
    <xf numFmtId="0" fontId="27" fillId="0" borderId="0" xfId="0" applyFont="1" applyAlignment="1">
      <alignment horizontal="left" vertical="top"/>
    </xf>
    <xf numFmtId="0" fontId="28" fillId="0" borderId="0" xfId="1" applyFont="1"/>
    <xf numFmtId="0" fontId="30" fillId="0" borderId="0" xfId="0" applyFont="1" applyAlignment="1">
      <alignment horizontal="left" vertical="top"/>
    </xf>
    <xf numFmtId="0" fontId="24" fillId="0" borderId="6" xfId="1" applyFont="1" applyBorder="1" applyAlignment="1">
      <alignment vertical="center"/>
    </xf>
    <xf numFmtId="0" fontId="24" fillId="0" borderId="36" xfId="1" applyFont="1" applyBorder="1" applyAlignment="1">
      <alignment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5" fillId="0" borderId="0" xfId="1" applyFont="1"/>
    <xf numFmtId="0" fontId="16" fillId="0" borderId="5" xfId="0" applyFont="1" applyBorder="1" applyAlignment="1">
      <alignment horizontal="left" vertical="top"/>
    </xf>
    <xf numFmtId="0" fontId="16" fillId="0" borderId="37" xfId="0" applyFont="1" applyBorder="1" applyAlignment="1">
      <alignment horizontal="left" vertical="top"/>
    </xf>
    <xf numFmtId="0" fontId="16" fillId="0" borderId="6" xfId="0" applyFont="1" applyBorder="1" applyAlignment="1">
      <alignment horizontal="left" vertical="top"/>
    </xf>
    <xf numFmtId="0" fontId="29" fillId="0" borderId="0" xfId="1" applyFont="1"/>
    <xf numFmtId="0" fontId="23" fillId="2" borderId="13" xfId="0" applyFont="1" applyFill="1" applyBorder="1" applyAlignment="1">
      <alignment horizontal="right" vertical="center" wrapText="1"/>
    </xf>
    <xf numFmtId="0" fontId="22" fillId="4" borderId="38" xfId="0" applyFont="1" applyFill="1" applyBorder="1" applyAlignment="1">
      <alignment horizontal="left" vertical="center" wrapText="1"/>
    </xf>
    <xf numFmtId="0" fontId="29" fillId="0" borderId="0" xfId="1" applyFont="1" applyAlignment="1">
      <alignment horizontal="right"/>
    </xf>
    <xf numFmtId="14" fontId="29" fillId="0" borderId="0" xfId="1" applyNumberFormat="1" applyFont="1"/>
    <xf numFmtId="165" fontId="6" fillId="0" borderId="7" xfId="0" applyNumberFormat="1" applyFont="1" applyBorder="1" applyAlignment="1">
      <alignment horizontal="left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7" fontId="6" fillId="0" borderId="9" xfId="0" applyNumberFormat="1" applyFont="1" applyBorder="1" applyAlignment="1">
      <alignment horizontal="left" wrapText="1"/>
    </xf>
    <xf numFmtId="0" fontId="32" fillId="0" borderId="0" xfId="1" applyFont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left" vertical="center" wrapText="1"/>
      <protection locked="0"/>
    </xf>
    <xf numFmtId="0" fontId="22" fillId="0" borderId="18" xfId="0" applyFont="1" applyBorder="1" applyAlignment="1" applyProtection="1">
      <alignment horizontal="left" vertical="center" wrapText="1"/>
      <protection locked="0"/>
    </xf>
    <xf numFmtId="0" fontId="16" fillId="0" borderId="18" xfId="0" applyFont="1" applyBorder="1" applyAlignment="1" applyProtection="1">
      <alignment horizontal="left" vertical="center"/>
      <protection locked="0"/>
    </xf>
    <xf numFmtId="14" fontId="22" fillId="0" borderId="18" xfId="0" applyNumberFormat="1" applyFont="1" applyBorder="1" applyAlignment="1" applyProtection="1">
      <alignment horizontal="left" vertical="center" wrapText="1"/>
      <protection locked="0"/>
    </xf>
    <xf numFmtId="0" fontId="22" fillId="0" borderId="24" xfId="0" applyFont="1" applyBorder="1" applyAlignment="1" applyProtection="1">
      <alignment horizontal="left" vertical="center" wrapText="1"/>
      <protection locked="0"/>
    </xf>
    <xf numFmtId="0" fontId="22" fillId="0" borderId="28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 applyProtection="1">
      <alignment horizontal="left" vertical="center" wrapText="1"/>
      <protection locked="0"/>
    </xf>
    <xf numFmtId="0" fontId="22" fillId="0" borderId="17" xfId="0" applyFont="1" applyBorder="1" applyAlignment="1" applyProtection="1">
      <alignment horizontal="left" vertical="center" wrapText="1"/>
      <protection locked="0"/>
    </xf>
    <xf numFmtId="0" fontId="22" fillId="0" borderId="16" xfId="0" applyFont="1" applyBorder="1" applyAlignment="1" applyProtection="1">
      <alignment horizontal="left" vertical="center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6" fillId="0" borderId="0" xfId="1" applyNumberFormat="1" applyFont="1"/>
    <xf numFmtId="2" fontId="28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6" fillId="0" borderId="43" xfId="2" applyBorder="1" applyAlignment="1" applyProtection="1">
      <alignment vertical="center"/>
      <protection locked="0"/>
    </xf>
    <xf numFmtId="49" fontId="22" fillId="0" borderId="17" xfId="0" applyNumberFormat="1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>
      <alignment horizontal="left" vertical="top" wrapText="1"/>
    </xf>
    <xf numFmtId="0" fontId="11" fillId="0" borderId="22" xfId="0" applyFont="1" applyBorder="1" applyAlignment="1">
      <alignment horizontal="lef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>
      <alignment horizontal="righ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6" fontId="11" fillId="0" borderId="42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 applyProtection="1">
      <alignment horizontal="right" vertical="center" wrapText="1"/>
      <protection locked="0"/>
    </xf>
    <xf numFmtId="165" fontId="11" fillId="0" borderId="39" xfId="0" applyNumberFormat="1" applyFont="1" applyBorder="1" applyAlignment="1">
      <alignment horizontal="right" vertical="center" wrapText="1"/>
    </xf>
    <xf numFmtId="0" fontId="11" fillId="0" borderId="23" xfId="0" applyFont="1" applyBorder="1" applyAlignment="1">
      <alignment horizontal="left" vertical="center" wrapText="1"/>
    </xf>
    <xf numFmtId="167" fontId="11" fillId="0" borderId="10" xfId="0" applyNumberFormat="1" applyFont="1" applyBorder="1" applyAlignment="1">
      <alignment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6" fontId="11" fillId="0" borderId="10" xfId="0" applyNumberFormat="1" applyFont="1" applyBorder="1" applyAlignment="1">
      <alignment vertical="center" wrapText="1"/>
    </xf>
    <xf numFmtId="165" fontId="11" fillId="0" borderId="11" xfId="0" applyNumberFormat="1" applyFont="1" applyBorder="1" applyAlignment="1">
      <alignment vertical="center" wrapText="1"/>
    </xf>
    <xf numFmtId="0" fontId="31" fillId="0" borderId="0" xfId="1" applyFont="1"/>
    <xf numFmtId="0" fontId="2" fillId="0" borderId="0" xfId="1" applyAlignment="1" applyProtection="1">
      <alignment horizontal="right"/>
      <protection locked="0"/>
    </xf>
    <xf numFmtId="14" fontId="16" fillId="0" borderId="0" xfId="0" applyNumberFormat="1" applyFont="1" applyAlignment="1">
      <alignment horizontal="left" vertical="top"/>
    </xf>
    <xf numFmtId="0" fontId="2" fillId="0" borderId="32" xfId="1" applyBorder="1" applyAlignment="1" applyProtection="1">
      <alignment horizontal="right"/>
      <protection locked="0"/>
    </xf>
    <xf numFmtId="0" fontId="1" fillId="0" borderId="37" xfId="1" applyFont="1" applyBorder="1" applyProtection="1">
      <protection locked="0"/>
    </xf>
    <xf numFmtId="0" fontId="1" fillId="0" borderId="0" xfId="1" applyFont="1" applyProtection="1">
      <protection locked="0"/>
    </xf>
    <xf numFmtId="0" fontId="1" fillId="0" borderId="34" xfId="1" applyFont="1" applyBorder="1" applyProtection="1">
      <protection locked="0"/>
    </xf>
    <xf numFmtId="0" fontId="1" fillId="0" borderId="32" xfId="1" applyFont="1" applyBorder="1" applyProtection="1">
      <protection locked="0"/>
    </xf>
    <xf numFmtId="164" fontId="2" fillId="0" borderId="33" xfId="1" applyNumberFormat="1" applyBorder="1" applyAlignment="1" applyProtection="1">
      <alignment horizontal="center" vertical="center"/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0" fontId="2" fillId="0" borderId="35" xfId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24" fillId="0" borderId="44" xfId="1" applyFont="1" applyBorder="1" applyAlignment="1">
      <alignment horizontal="center" vertical="center"/>
    </xf>
    <xf numFmtId="2" fontId="1" fillId="0" borderId="34" xfId="1" applyNumberFormat="1" applyFont="1" applyBorder="1" applyAlignment="1">
      <alignment horizontal="center" vertical="center"/>
    </xf>
    <xf numFmtId="165" fontId="6" fillId="0" borderId="45" xfId="0" applyNumberFormat="1" applyFont="1" applyBorder="1" applyAlignment="1">
      <alignment horizontal="left" wrapText="1"/>
    </xf>
    <xf numFmtId="166" fontId="11" fillId="0" borderId="46" xfId="0" applyNumberFormat="1" applyFont="1" applyBorder="1" applyAlignment="1">
      <alignment vertical="center" wrapText="1"/>
    </xf>
    <xf numFmtId="165" fontId="11" fillId="0" borderId="47" xfId="0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1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1" fillId="0" borderId="0" xfId="0" applyFont="1" applyAlignment="1" applyProtection="1">
      <alignment horizontal="center" vertical="center"/>
      <protection locked="0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41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0</xdr:row>
          <xdr:rowOff>333375</xdr:rowOff>
        </xdr:from>
        <xdr:to>
          <xdr:col>10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P5" headerRowDxfId="39" dataDxfId="37" headerRowBorderDxfId="38" tableBorderDxfId="36" headerRowCellStyle="Normal 12">
  <autoFilter ref="A4:P5" xr:uid="{B8BBD353-B74B-45CB-8063-31C89BC504C4}"/>
  <tableColumns count="16">
    <tableColumn id="1" xr3:uid="{58AEB03A-DF6F-4FBA-85FF-3ADAE845EC8F}" name="Date" dataDxfId="35" totalsRowDxfId="34" dataCellStyle="Normal 12"/>
    <tableColumn id="2" xr3:uid="{7EA9E4B5-1517-41C2-A49C-38A2DE1F698A}" name="Description" dataDxfId="33" totalsRowDxfId="32" dataCellStyle="Normal 12"/>
    <tableColumn id="11" xr3:uid="{64EC81D9-C9D0-498F-9CEB-4EBE2DC32DF0}" name="Remarques" dataDxfId="31" totalsRowDxfId="30" dataCellStyle="Normal 12"/>
    <tableColumn id="13" xr3:uid="{8B3D0035-C43F-47E6-9DA0-649168C7EFFC}" name="Profession" dataDxfId="29" totalsRowDxfId="28" dataCellStyle="Normal 12"/>
    <tableColumn id="10" xr3:uid="{99C77BA4-9AD3-46E1-ADB3-D58CE23B6768}" name="Type examen" dataDxfId="27" totalsRowDxfId="26" dataCellStyle="Normal 12"/>
    <tableColumn id="14" xr3:uid="{E2518146-6910-46CD-AFFB-B479A51C330C}" name="Tâche" dataDxfId="25" totalsRowDxfId="24" dataCellStyle="Normal 12"/>
    <tableColumn id="3" xr3:uid="{2683160D-6C6A-462A-947E-D716E77CE8DE}" name="Début m." dataDxfId="23" totalsRowDxfId="22" dataCellStyle="Normal 12"/>
    <tableColumn id="4" xr3:uid="{0E3B960D-6EF5-482C-89FE-C7F40D78BF00}" name="Fin m." dataDxfId="21" totalsRowDxfId="20" dataCellStyle="Normal 12"/>
    <tableColumn id="5" xr3:uid="{B3C5A033-B40C-43D9-BB45-CAB615870925}" name="Début a-m." dataDxfId="19" totalsRowDxfId="18" dataCellStyle="Normal 12"/>
    <tableColumn id="6" xr3:uid="{FAB52B56-6B48-4068-98E6-54A746F90E24}" name="Fin a-m." dataDxfId="17" totalsRowDxfId="16" dataCellStyle="Normal 12"/>
    <tableColumn id="7" xr3:uid="{323BF3AA-07D6-4C8F-BA09-9078F8E81F88}" name="Heures" dataDxfId="15" totalsRowDxfId="14" dataCellStyle="Normal 12">
      <calculatedColumnFormula>((H5-G5)+(J5-I5))*24</calculatedColumnFormula>
    </tableColumn>
    <tableColumn id="8" xr3:uid="{88255AA7-E2D2-4A52-AEC2-02C657EF3184}" name="Km" dataDxfId="13" totalsRowDxfId="12" dataCellStyle="Normal 12"/>
    <tableColumn id="9" xr3:uid="{6B50BE3C-7325-4978-8EFA-0BC779453F80}" name="Repas" dataDxfId="11" totalsRowDxfId="10" dataCellStyle="Normal 12"/>
    <tableColumn id="15" xr3:uid="{8C104310-3024-4DCD-A07D-EC0F2331F6FE}" name="Parking" dataDxfId="9" totalsRowDxfId="8" dataCellStyle="Normal 12"/>
    <tableColumn id="12" xr3:uid="{D8C4BA10-7254-4F87-AF90-CA08BF19A336}" name="Trajet" dataDxfId="7" totalsRowDxfId="6" dataCellStyle="Normal 12"/>
    <tableColumn id="16" xr3:uid="{A8FAE1E8-8F68-408D-BF7F-D38DD7AA2AFA}" name="Divers" dataDxfId="5" totalsRowDxfId="4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6:B22" totalsRowShown="0" headerRowDxfId="3" dataDxfId="2">
  <autoFilter ref="A16:B22" xr:uid="{C766B29C-F71E-48C6-A1E9-F8288729DF69}"/>
  <tableColumns count="2">
    <tableColumn id="1" xr3:uid="{8EC45310-A1E1-4454-9D37-64DB52FA2C18}" name="Professions" dataDxfId="1"/>
    <tableColumn id="2" xr3:uid="{AFA416DE-065A-4187-BE19-41767836A32B}" name="N° Profess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Q475"/>
  <sheetViews>
    <sheetView zoomScaleNormal="100" workbookViewId="0">
      <selection activeCell="O15" sqref="O15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2" bestFit="1" customWidth="1"/>
    <col min="12" max="13" width="11.33203125" style="11" customWidth="1"/>
    <col min="14" max="14" width="17.33203125" style="11" customWidth="1"/>
    <col min="15" max="15" width="35.1640625" style="11" customWidth="1"/>
    <col min="16" max="16" width="17.1640625" customWidth="1"/>
    <col min="17" max="18" width="13.33203125" style="11" customWidth="1"/>
    <col min="19" max="16384" width="13.33203125" style="11"/>
  </cols>
  <sheetData>
    <row r="1" spans="1:17" s="25" customFormat="1" ht="21" x14ac:dyDescent="0.35">
      <c r="A1" s="83" t="s">
        <v>34</v>
      </c>
      <c r="K1" s="63"/>
      <c r="P1" s="26"/>
    </row>
    <row r="2" spans="1:17" s="27" customFormat="1" ht="15.75" x14ac:dyDescent="0.25">
      <c r="B2" s="38"/>
      <c r="C2" s="38"/>
      <c r="D2" s="41"/>
      <c r="E2" s="42"/>
      <c r="F2" s="42"/>
      <c r="K2" s="64"/>
      <c r="P2" s="28"/>
      <c r="Q2" s="11"/>
    </row>
    <row r="4" spans="1:17" s="34" customFormat="1" ht="15.75" thickBot="1" x14ac:dyDescent="0.3">
      <c r="A4" s="29" t="s">
        <v>27</v>
      </c>
      <c r="B4" s="29" t="s">
        <v>62</v>
      </c>
      <c r="C4" s="30" t="s">
        <v>68</v>
      </c>
      <c r="D4" s="30" t="s">
        <v>49</v>
      </c>
      <c r="E4" s="30" t="s">
        <v>65</v>
      </c>
      <c r="F4" s="30" t="s">
        <v>66</v>
      </c>
      <c r="G4" s="31" t="s">
        <v>58</v>
      </c>
      <c r="H4" s="32" t="s">
        <v>59</v>
      </c>
      <c r="I4" s="32" t="s">
        <v>60</v>
      </c>
      <c r="J4" s="33" t="s">
        <v>61</v>
      </c>
      <c r="K4" s="33" t="s">
        <v>31</v>
      </c>
      <c r="L4" s="33" t="s">
        <v>32</v>
      </c>
      <c r="M4" s="33" t="s">
        <v>33</v>
      </c>
      <c r="N4" s="33" t="s">
        <v>77</v>
      </c>
      <c r="O4" s="33" t="s">
        <v>78</v>
      </c>
      <c r="P4" s="98" t="s">
        <v>79</v>
      </c>
    </row>
    <row r="5" spans="1:17" x14ac:dyDescent="0.25">
      <c r="A5" s="86"/>
      <c r="B5" s="87"/>
      <c r="C5" s="88"/>
      <c r="D5" s="89"/>
      <c r="E5" s="89"/>
      <c r="F5" s="90"/>
      <c r="G5" s="91"/>
      <c r="H5" s="92"/>
      <c r="I5" s="92"/>
      <c r="J5" s="92"/>
      <c r="K5" s="99">
        <f t="shared" ref="K5" si="0">((H5-G5)+(J5-I5))*24</f>
        <v>0</v>
      </c>
      <c r="L5" s="93"/>
      <c r="M5" s="93"/>
      <c r="N5" s="93"/>
      <c r="O5" s="93"/>
      <c r="P5" s="93"/>
    </row>
    <row r="6" spans="1:17" x14ac:dyDescent="0.25">
      <c r="A6" s="84"/>
      <c r="B6" s="58"/>
      <c r="C6" s="58"/>
      <c r="D6" s="58"/>
      <c r="E6" s="58"/>
      <c r="F6" s="58"/>
      <c r="G6" s="59"/>
      <c r="H6" s="59"/>
      <c r="I6" s="59"/>
      <c r="J6" s="59"/>
      <c r="K6" s="60"/>
      <c r="L6" s="58"/>
      <c r="M6" s="58"/>
      <c r="N6" s="58"/>
      <c r="O6" s="58"/>
    </row>
    <row r="7" spans="1:17" x14ac:dyDescent="0.25">
      <c r="A7" s="84"/>
      <c r="B7" s="58"/>
      <c r="C7" s="58"/>
      <c r="D7" s="58"/>
      <c r="E7" s="58"/>
      <c r="F7" s="58"/>
      <c r="G7" s="59"/>
      <c r="H7" s="59"/>
      <c r="I7" s="59"/>
      <c r="J7" s="59"/>
      <c r="K7" s="60"/>
      <c r="L7" s="58"/>
      <c r="M7" s="58"/>
      <c r="N7" s="58"/>
      <c r="O7" s="58"/>
    </row>
    <row r="8" spans="1:17" x14ac:dyDescent="0.25">
      <c r="A8" s="84"/>
      <c r="B8" s="58"/>
      <c r="C8" s="58"/>
      <c r="D8" s="58"/>
      <c r="E8" s="58"/>
      <c r="F8" s="58"/>
      <c r="G8" s="59"/>
      <c r="H8" s="59"/>
      <c r="I8" s="59"/>
      <c r="J8" s="59"/>
      <c r="K8" s="60"/>
      <c r="L8" s="58"/>
      <c r="M8" s="58"/>
      <c r="N8" s="58"/>
      <c r="O8" s="58"/>
    </row>
    <row r="9" spans="1:17" x14ac:dyDescent="0.25">
      <c r="A9" s="84"/>
      <c r="B9" s="58"/>
      <c r="C9" s="58"/>
      <c r="D9" s="58"/>
      <c r="E9" s="58"/>
      <c r="F9" s="58"/>
      <c r="G9" s="59"/>
      <c r="H9" s="59"/>
      <c r="I9" s="59"/>
      <c r="J9" s="59"/>
      <c r="K9" s="60"/>
      <c r="L9" s="58"/>
      <c r="M9" s="58"/>
      <c r="N9" s="58"/>
      <c r="O9" s="58"/>
    </row>
    <row r="10" spans="1:17" x14ac:dyDescent="0.25">
      <c r="A10" s="58"/>
      <c r="B10" s="58"/>
      <c r="C10" s="58"/>
      <c r="D10" s="58"/>
      <c r="E10" s="58"/>
      <c r="F10" s="58"/>
      <c r="G10" s="59"/>
      <c r="H10" s="59"/>
      <c r="I10" s="59"/>
      <c r="J10" s="59"/>
      <c r="K10" s="60"/>
      <c r="L10" s="58"/>
      <c r="M10" s="58"/>
      <c r="N10" s="58"/>
      <c r="O10" s="58"/>
    </row>
    <row r="11" spans="1:17" x14ac:dyDescent="0.25">
      <c r="A11" s="58"/>
      <c r="B11" s="58"/>
      <c r="C11" s="58"/>
      <c r="D11" s="58"/>
      <c r="E11" s="58"/>
      <c r="F11" s="58"/>
      <c r="G11" s="59"/>
      <c r="H11" s="59"/>
      <c r="I11" s="59"/>
      <c r="J11" s="59"/>
      <c r="K11" s="60"/>
      <c r="L11" s="58"/>
      <c r="M11" s="58"/>
      <c r="N11" s="58"/>
      <c r="O11" s="58"/>
    </row>
    <row r="12" spans="1:17" x14ac:dyDescent="0.25">
      <c r="A12" s="58"/>
      <c r="B12" s="58"/>
      <c r="C12" s="58"/>
      <c r="D12" s="58"/>
      <c r="E12" s="58"/>
      <c r="F12" s="58"/>
      <c r="G12" s="59"/>
      <c r="H12" s="59"/>
      <c r="I12" s="59"/>
      <c r="J12" s="59"/>
      <c r="K12" s="60"/>
      <c r="L12" s="58"/>
      <c r="M12" s="58"/>
      <c r="N12" s="58"/>
      <c r="O12" s="58"/>
    </row>
    <row r="13" spans="1:17" x14ac:dyDescent="0.25">
      <c r="A13" s="58"/>
      <c r="B13" s="58"/>
      <c r="C13" s="58"/>
      <c r="D13" s="58"/>
      <c r="E13" s="58"/>
      <c r="F13" s="58"/>
      <c r="G13" s="59"/>
      <c r="H13" s="59"/>
      <c r="I13" s="59"/>
      <c r="J13" s="59"/>
      <c r="K13" s="60"/>
      <c r="L13" s="58"/>
      <c r="M13" s="58"/>
      <c r="N13" s="58"/>
      <c r="O13" s="58"/>
    </row>
    <row r="14" spans="1:17" x14ac:dyDescent="0.25">
      <c r="A14" s="58"/>
      <c r="B14" s="58"/>
      <c r="C14" s="58"/>
      <c r="D14" s="58"/>
      <c r="E14" s="58"/>
      <c r="F14" s="58"/>
      <c r="G14" s="59"/>
      <c r="H14" s="59"/>
      <c r="I14" s="59"/>
      <c r="J14" s="59"/>
      <c r="K14" s="60"/>
      <c r="L14" s="58"/>
      <c r="M14" s="58"/>
      <c r="N14" s="58"/>
      <c r="O14" s="58"/>
    </row>
    <row r="15" spans="1:17" x14ac:dyDescent="0.25">
      <c r="A15" s="58"/>
      <c r="B15" s="58"/>
      <c r="C15" s="58"/>
      <c r="D15" s="58"/>
      <c r="E15" s="58"/>
      <c r="F15" s="58"/>
      <c r="G15" s="59"/>
      <c r="H15" s="59"/>
      <c r="I15" s="59"/>
      <c r="J15" s="59"/>
      <c r="K15" s="60"/>
      <c r="L15" s="58"/>
      <c r="M15" s="58"/>
      <c r="N15" s="58"/>
      <c r="O15" s="58"/>
    </row>
    <row r="16" spans="1:17" x14ac:dyDescent="0.25">
      <c r="A16" s="58"/>
      <c r="B16" s="58"/>
      <c r="C16" s="58"/>
      <c r="D16" s="58"/>
      <c r="E16" s="58"/>
      <c r="F16" s="58"/>
      <c r="G16" s="59"/>
      <c r="H16" s="59"/>
      <c r="I16" s="59"/>
      <c r="J16" s="59"/>
      <c r="K16" s="60"/>
      <c r="L16" s="58"/>
      <c r="M16" s="58"/>
      <c r="N16" s="58"/>
      <c r="O16" s="58"/>
    </row>
    <row r="17" spans="1:15" x14ac:dyDescent="0.25">
      <c r="A17" s="58"/>
      <c r="B17" s="58"/>
      <c r="C17" s="58"/>
      <c r="D17" s="58"/>
      <c r="E17" s="58"/>
      <c r="F17" s="58"/>
      <c r="G17" s="59"/>
      <c r="H17" s="59"/>
      <c r="I17" s="59"/>
      <c r="J17" s="59"/>
      <c r="K17" s="60"/>
      <c r="L17" s="58"/>
      <c r="M17" s="58"/>
      <c r="N17" s="58"/>
      <c r="O17" s="58"/>
    </row>
    <row r="18" spans="1:15" x14ac:dyDescent="0.25">
      <c r="A18" s="58"/>
      <c r="B18" s="58"/>
      <c r="C18" s="58"/>
      <c r="D18" s="58"/>
      <c r="E18" s="58"/>
      <c r="F18" s="58"/>
      <c r="G18" s="59"/>
      <c r="H18" s="59"/>
      <c r="I18" s="59"/>
      <c r="J18" s="59"/>
      <c r="K18" s="60"/>
      <c r="L18" s="58"/>
      <c r="M18" s="58"/>
      <c r="N18" s="58"/>
      <c r="O18" s="58"/>
    </row>
    <row r="19" spans="1:15" x14ac:dyDescent="0.25">
      <c r="A19" s="58"/>
      <c r="B19" s="58"/>
      <c r="C19" s="58"/>
      <c r="D19" s="58"/>
      <c r="E19" s="58"/>
      <c r="F19" s="58"/>
      <c r="G19" s="59"/>
      <c r="H19" s="59"/>
      <c r="I19" s="59"/>
      <c r="J19" s="59"/>
      <c r="K19" s="60"/>
      <c r="L19" s="58"/>
      <c r="M19" s="58"/>
      <c r="N19" s="58"/>
      <c r="O19" s="58"/>
    </row>
    <row r="20" spans="1:15" x14ac:dyDescent="0.25">
      <c r="A20" s="58"/>
      <c r="B20" s="58"/>
      <c r="C20" s="58"/>
      <c r="D20" s="58"/>
      <c r="E20" s="58"/>
      <c r="F20" s="58"/>
      <c r="G20" s="59"/>
      <c r="H20" s="59"/>
      <c r="I20" s="59"/>
      <c r="J20" s="59"/>
      <c r="K20" s="60"/>
      <c r="L20" s="58"/>
      <c r="M20" s="58"/>
      <c r="N20" s="58"/>
      <c r="O20" s="58"/>
    </row>
    <row r="21" spans="1:15" x14ac:dyDescent="0.25">
      <c r="A21" s="58"/>
      <c r="B21" s="58"/>
      <c r="C21" s="58"/>
      <c r="D21" s="58"/>
      <c r="E21" s="58"/>
      <c r="F21" s="58"/>
      <c r="G21" s="59"/>
      <c r="H21" s="59"/>
      <c r="I21" s="59"/>
      <c r="J21" s="59"/>
      <c r="K21" s="60"/>
      <c r="L21" s="58"/>
      <c r="M21" s="58"/>
      <c r="N21" s="58"/>
      <c r="O21" s="58"/>
    </row>
    <row r="22" spans="1:15" x14ac:dyDescent="0.25">
      <c r="A22" s="58"/>
      <c r="B22" s="58"/>
      <c r="C22" s="58"/>
      <c r="D22" s="58"/>
      <c r="E22" s="58"/>
      <c r="F22" s="58"/>
      <c r="G22" s="59"/>
      <c r="H22" s="59"/>
      <c r="I22" s="59"/>
      <c r="J22" s="59"/>
      <c r="K22" s="60"/>
      <c r="L22" s="58"/>
      <c r="M22" s="58"/>
      <c r="N22" s="58"/>
      <c r="O22" s="58"/>
    </row>
    <row r="23" spans="1:15" x14ac:dyDescent="0.25">
      <c r="A23" s="58"/>
      <c r="B23" s="58"/>
      <c r="C23" s="58"/>
      <c r="D23" s="58"/>
      <c r="E23" s="58"/>
      <c r="F23" s="58"/>
      <c r="G23" s="59"/>
      <c r="H23" s="59"/>
      <c r="I23" s="59"/>
      <c r="J23" s="59"/>
      <c r="K23" s="60"/>
      <c r="L23" s="58"/>
      <c r="M23" s="58"/>
      <c r="N23" s="58"/>
      <c r="O23" s="58"/>
    </row>
    <row r="24" spans="1:15" x14ac:dyDescent="0.25">
      <c r="A24" s="58"/>
      <c r="B24" s="58"/>
      <c r="C24" s="58"/>
      <c r="D24" s="58"/>
      <c r="E24" s="58"/>
      <c r="F24" s="58"/>
      <c r="G24" s="59"/>
      <c r="H24" s="59"/>
      <c r="I24" s="59"/>
      <c r="J24" s="59"/>
      <c r="K24" s="60"/>
      <c r="L24" s="58"/>
      <c r="M24" s="58"/>
      <c r="N24" s="58"/>
      <c r="O24" s="58"/>
    </row>
    <row r="25" spans="1:15" x14ac:dyDescent="0.25">
      <c r="A25" s="58"/>
      <c r="B25" s="58"/>
      <c r="C25" s="58"/>
      <c r="D25" s="58"/>
      <c r="E25" s="58"/>
      <c r="F25" s="58"/>
      <c r="G25" s="59"/>
      <c r="H25" s="59"/>
      <c r="I25" s="59"/>
      <c r="J25" s="59"/>
      <c r="K25" s="60"/>
      <c r="L25" s="58"/>
      <c r="M25" s="58"/>
      <c r="N25" s="58"/>
      <c r="O25" s="58"/>
    </row>
    <row r="26" spans="1:15" x14ac:dyDescent="0.25">
      <c r="A26" s="58"/>
      <c r="B26" s="58"/>
      <c r="C26" s="58"/>
      <c r="D26" s="58"/>
      <c r="E26" s="58"/>
      <c r="F26" s="58"/>
      <c r="G26" s="59"/>
      <c r="H26" s="59"/>
      <c r="I26" s="59"/>
      <c r="J26" s="59"/>
      <c r="K26" s="60"/>
      <c r="L26" s="58"/>
      <c r="M26" s="58"/>
      <c r="N26" s="58"/>
      <c r="O26" s="58"/>
    </row>
    <row r="27" spans="1:15" x14ac:dyDescent="0.25">
      <c r="A27" s="58"/>
      <c r="B27" s="58"/>
      <c r="C27" s="58"/>
      <c r="D27" s="58"/>
      <c r="E27" s="58"/>
      <c r="F27" s="58"/>
      <c r="G27" s="59"/>
      <c r="H27" s="59"/>
      <c r="I27" s="59"/>
      <c r="J27" s="59"/>
      <c r="K27" s="60"/>
      <c r="L27" s="58"/>
      <c r="M27" s="58"/>
      <c r="N27" s="58"/>
      <c r="O27" s="58"/>
    </row>
    <row r="28" spans="1:15" x14ac:dyDescent="0.25">
      <c r="A28" s="58"/>
      <c r="B28" s="58"/>
      <c r="C28" s="58"/>
      <c r="D28" s="58"/>
      <c r="E28" s="58"/>
      <c r="F28" s="58"/>
      <c r="G28" s="59"/>
      <c r="H28" s="59"/>
      <c r="I28" s="59"/>
      <c r="J28" s="59"/>
      <c r="K28" s="60"/>
      <c r="L28" s="58"/>
      <c r="M28" s="58"/>
      <c r="N28" s="58"/>
      <c r="O28" s="58"/>
    </row>
    <row r="29" spans="1:15" x14ac:dyDescent="0.25">
      <c r="A29" s="58"/>
      <c r="B29" s="58"/>
      <c r="C29" s="58"/>
      <c r="D29" s="58"/>
      <c r="E29" s="58"/>
      <c r="F29" s="58"/>
      <c r="G29" s="59"/>
      <c r="H29" s="59"/>
      <c r="I29" s="59"/>
      <c r="J29" s="59"/>
      <c r="K29" s="60"/>
      <c r="L29" s="58"/>
      <c r="M29" s="58"/>
      <c r="N29" s="58"/>
      <c r="O29" s="58"/>
    </row>
    <row r="30" spans="1:15" x14ac:dyDescent="0.25">
      <c r="A30" s="58"/>
      <c r="B30" s="58"/>
      <c r="C30" s="58"/>
      <c r="D30" s="58"/>
      <c r="E30" s="58"/>
      <c r="F30" s="58"/>
      <c r="G30" s="59"/>
      <c r="H30" s="59"/>
      <c r="I30" s="59"/>
      <c r="J30" s="59"/>
      <c r="K30" s="60"/>
      <c r="L30" s="58"/>
      <c r="M30" s="58"/>
      <c r="N30" s="58"/>
      <c r="O30" s="58"/>
    </row>
    <row r="31" spans="1:15" x14ac:dyDescent="0.25">
      <c r="A31" s="58"/>
      <c r="B31" s="58"/>
      <c r="C31" s="58"/>
      <c r="D31" s="58"/>
      <c r="E31" s="58"/>
      <c r="F31" s="58"/>
      <c r="G31" s="59"/>
      <c r="H31" s="59"/>
      <c r="I31" s="59"/>
      <c r="J31" s="59"/>
      <c r="K31" s="60"/>
      <c r="L31" s="58"/>
      <c r="M31" s="58"/>
      <c r="N31" s="58"/>
      <c r="O31" s="58"/>
    </row>
    <row r="32" spans="1:15" x14ac:dyDescent="0.25">
      <c r="A32" s="58"/>
      <c r="B32" s="58"/>
      <c r="C32" s="58"/>
      <c r="D32" s="58"/>
      <c r="E32" s="58"/>
      <c r="F32" s="58"/>
      <c r="G32" s="59"/>
      <c r="H32" s="59"/>
      <c r="I32" s="59"/>
      <c r="J32" s="59"/>
      <c r="K32" s="60"/>
      <c r="L32" s="58"/>
      <c r="M32" s="58"/>
      <c r="N32" s="58"/>
      <c r="O32" s="58"/>
    </row>
    <row r="33" spans="1:15" x14ac:dyDescent="0.25">
      <c r="A33" s="58"/>
      <c r="B33" s="58"/>
      <c r="C33" s="58"/>
      <c r="D33" s="58"/>
      <c r="E33" s="58"/>
      <c r="F33" s="58"/>
      <c r="G33" s="59"/>
      <c r="H33" s="59"/>
      <c r="I33" s="59"/>
      <c r="J33" s="59"/>
      <c r="K33" s="60"/>
      <c r="L33" s="58"/>
      <c r="M33" s="58"/>
      <c r="N33" s="58"/>
      <c r="O33" s="58"/>
    </row>
    <row r="34" spans="1:15" x14ac:dyDescent="0.25">
      <c r="A34" s="58"/>
      <c r="B34" s="58"/>
      <c r="C34" s="58"/>
      <c r="D34" s="58"/>
      <c r="E34" s="58"/>
      <c r="F34" s="58"/>
      <c r="G34" s="59"/>
      <c r="H34" s="59"/>
      <c r="I34" s="59"/>
      <c r="J34" s="59"/>
      <c r="K34" s="60"/>
      <c r="L34" s="58"/>
      <c r="M34" s="58"/>
      <c r="N34" s="58"/>
      <c r="O34" s="58"/>
    </row>
    <row r="35" spans="1:15" x14ac:dyDescent="0.25">
      <c r="A35" s="58"/>
      <c r="B35" s="58"/>
      <c r="C35" s="58"/>
      <c r="D35" s="58"/>
      <c r="E35" s="58"/>
      <c r="F35" s="58"/>
      <c r="G35" s="59"/>
      <c r="H35" s="59"/>
      <c r="I35" s="59"/>
      <c r="J35" s="59"/>
      <c r="K35" s="60"/>
      <c r="L35" s="58"/>
      <c r="M35" s="58"/>
      <c r="N35" s="58"/>
      <c r="O35" s="58"/>
    </row>
    <row r="36" spans="1:15" x14ac:dyDescent="0.25">
      <c r="A36" s="58"/>
      <c r="B36" s="58"/>
      <c r="C36" s="58"/>
      <c r="D36" s="58"/>
      <c r="E36" s="58"/>
      <c r="F36" s="58"/>
      <c r="G36" s="59"/>
      <c r="H36" s="59"/>
      <c r="I36" s="59"/>
      <c r="J36" s="59"/>
      <c r="K36" s="60"/>
      <c r="L36" s="58"/>
      <c r="M36" s="58"/>
      <c r="N36" s="58"/>
      <c r="O36" s="58"/>
    </row>
    <row r="37" spans="1:15" x14ac:dyDescent="0.25">
      <c r="A37" s="58"/>
      <c r="B37" s="58"/>
      <c r="C37" s="58"/>
      <c r="D37" s="58"/>
      <c r="E37" s="58"/>
      <c r="F37" s="58"/>
      <c r="G37" s="59"/>
      <c r="H37" s="59"/>
      <c r="I37" s="59"/>
      <c r="J37" s="59"/>
      <c r="K37" s="60"/>
      <c r="L37" s="58"/>
      <c r="M37" s="58"/>
      <c r="N37" s="58"/>
      <c r="O37" s="58"/>
    </row>
    <row r="38" spans="1:15" x14ac:dyDescent="0.25">
      <c r="A38" s="58"/>
      <c r="B38" s="58"/>
      <c r="C38" s="58"/>
      <c r="D38" s="58"/>
      <c r="E38" s="58"/>
      <c r="F38" s="58"/>
      <c r="G38" s="59"/>
      <c r="H38" s="59"/>
      <c r="I38" s="59"/>
      <c r="J38" s="59"/>
      <c r="K38" s="60"/>
      <c r="L38" s="58"/>
      <c r="M38" s="58"/>
      <c r="N38" s="58"/>
      <c r="O38" s="58"/>
    </row>
    <row r="39" spans="1:15" x14ac:dyDescent="0.25">
      <c r="A39" s="58"/>
      <c r="B39" s="58"/>
      <c r="C39" s="58"/>
      <c r="D39" s="58"/>
      <c r="E39" s="58"/>
      <c r="F39" s="58"/>
      <c r="G39" s="59"/>
      <c r="H39" s="59"/>
      <c r="I39" s="59"/>
      <c r="J39" s="59"/>
      <c r="K39" s="60"/>
      <c r="L39" s="58"/>
      <c r="M39" s="58"/>
      <c r="N39" s="58"/>
      <c r="O39" s="58"/>
    </row>
    <row r="40" spans="1:15" x14ac:dyDescent="0.25">
      <c r="A40" s="58"/>
      <c r="B40" s="58"/>
      <c r="C40" s="58"/>
      <c r="D40" s="58"/>
      <c r="E40" s="58"/>
      <c r="F40" s="58"/>
      <c r="G40" s="59"/>
      <c r="H40" s="59"/>
      <c r="I40" s="59"/>
      <c r="J40" s="59"/>
      <c r="K40" s="60"/>
      <c r="L40" s="58"/>
      <c r="M40" s="58"/>
      <c r="N40" s="58"/>
      <c r="O40" s="58"/>
    </row>
    <row r="41" spans="1:15" x14ac:dyDescent="0.25">
      <c r="A41" s="58"/>
      <c r="B41" s="58"/>
      <c r="C41" s="58"/>
      <c r="D41" s="58"/>
      <c r="E41" s="58"/>
      <c r="F41" s="58"/>
      <c r="G41" s="59"/>
      <c r="H41" s="59"/>
      <c r="I41" s="59"/>
      <c r="J41" s="59"/>
      <c r="K41" s="60"/>
      <c r="L41" s="58"/>
      <c r="M41" s="58"/>
      <c r="N41" s="58"/>
      <c r="O41" s="58"/>
    </row>
    <row r="42" spans="1:15" x14ac:dyDescent="0.25">
      <c r="A42" s="58"/>
      <c r="B42" s="58"/>
      <c r="C42" s="58"/>
      <c r="D42" s="58"/>
      <c r="E42" s="58"/>
      <c r="F42" s="58"/>
      <c r="G42" s="59"/>
      <c r="H42" s="59"/>
      <c r="I42" s="59"/>
      <c r="J42" s="59"/>
      <c r="K42" s="60"/>
      <c r="L42" s="58"/>
      <c r="M42" s="58"/>
      <c r="N42" s="58"/>
      <c r="O42" s="58"/>
    </row>
    <row r="43" spans="1:15" x14ac:dyDescent="0.25">
      <c r="A43" s="58"/>
      <c r="B43" s="58"/>
      <c r="C43" s="58"/>
      <c r="D43" s="58"/>
      <c r="E43" s="58"/>
      <c r="F43" s="58"/>
      <c r="G43" s="59"/>
      <c r="H43" s="59"/>
      <c r="I43" s="59"/>
      <c r="J43" s="59"/>
      <c r="K43" s="60"/>
      <c r="L43" s="58"/>
      <c r="M43" s="58"/>
      <c r="N43" s="58"/>
      <c r="O43" s="58"/>
    </row>
    <row r="44" spans="1:15" x14ac:dyDescent="0.25">
      <c r="A44" s="58"/>
      <c r="B44" s="58"/>
      <c r="C44" s="58"/>
      <c r="D44" s="58"/>
      <c r="E44" s="58"/>
      <c r="F44" s="58"/>
      <c r="G44" s="59"/>
      <c r="H44" s="59"/>
      <c r="I44" s="59"/>
      <c r="J44" s="59"/>
      <c r="K44" s="60"/>
      <c r="L44" s="58"/>
      <c r="M44" s="58"/>
      <c r="N44" s="58"/>
      <c r="O44" s="58"/>
    </row>
    <row r="45" spans="1:15" x14ac:dyDescent="0.25">
      <c r="A45" s="58"/>
      <c r="B45" s="58"/>
      <c r="C45" s="58"/>
      <c r="D45" s="58"/>
      <c r="E45" s="58"/>
      <c r="F45" s="58"/>
      <c r="G45" s="59"/>
      <c r="H45" s="59"/>
      <c r="I45" s="59"/>
      <c r="J45" s="59"/>
      <c r="K45" s="60"/>
      <c r="L45" s="58"/>
      <c r="M45" s="58"/>
      <c r="N45" s="58"/>
      <c r="O45" s="58"/>
    </row>
    <row r="46" spans="1:15" x14ac:dyDescent="0.25">
      <c r="A46" s="58"/>
      <c r="B46" s="58"/>
      <c r="C46" s="58"/>
      <c r="D46" s="58"/>
      <c r="E46" s="58"/>
      <c r="F46" s="58"/>
      <c r="G46" s="59"/>
      <c r="H46" s="59"/>
      <c r="I46" s="59"/>
      <c r="J46" s="59"/>
      <c r="K46" s="60"/>
      <c r="L46" s="58"/>
      <c r="M46" s="58"/>
      <c r="N46" s="58"/>
      <c r="O46" s="58"/>
    </row>
    <row r="47" spans="1:15" x14ac:dyDescent="0.25">
      <c r="A47" s="58"/>
      <c r="B47" s="58"/>
      <c r="C47" s="58"/>
      <c r="D47" s="58"/>
      <c r="E47" s="58"/>
      <c r="F47" s="58"/>
      <c r="G47" s="59"/>
      <c r="H47" s="59"/>
      <c r="I47" s="59"/>
      <c r="J47" s="59"/>
      <c r="K47" s="60"/>
      <c r="L47" s="58"/>
      <c r="M47" s="58"/>
      <c r="N47" s="58"/>
      <c r="O47" s="58"/>
    </row>
    <row r="48" spans="1:15" x14ac:dyDescent="0.25">
      <c r="A48" s="58"/>
      <c r="B48" s="58"/>
      <c r="C48" s="58"/>
      <c r="D48" s="58"/>
      <c r="E48" s="58"/>
      <c r="F48" s="58"/>
      <c r="G48" s="59"/>
      <c r="H48" s="59"/>
      <c r="I48" s="59"/>
      <c r="J48" s="59"/>
      <c r="K48" s="60"/>
      <c r="L48" s="58"/>
      <c r="M48" s="58"/>
      <c r="N48" s="58"/>
      <c r="O48" s="58"/>
    </row>
    <row r="49" spans="1:15" x14ac:dyDescent="0.2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60"/>
      <c r="L49" s="58"/>
      <c r="M49" s="58"/>
      <c r="N49" s="58"/>
      <c r="O49" s="58"/>
    </row>
    <row r="50" spans="1:15" x14ac:dyDescent="0.2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60"/>
      <c r="L50" s="58"/>
      <c r="M50" s="58"/>
      <c r="N50" s="58"/>
      <c r="O50" s="58"/>
    </row>
    <row r="51" spans="1:15" x14ac:dyDescent="0.2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60"/>
      <c r="L51" s="58"/>
      <c r="M51" s="58"/>
      <c r="N51" s="58"/>
      <c r="O51" s="58"/>
    </row>
    <row r="52" spans="1:15" x14ac:dyDescent="0.2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60"/>
      <c r="L52" s="58"/>
      <c r="M52" s="58"/>
      <c r="N52" s="58"/>
      <c r="O52" s="58"/>
    </row>
    <row r="53" spans="1:15" x14ac:dyDescent="0.2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60"/>
      <c r="L53" s="58"/>
      <c r="M53" s="58"/>
      <c r="N53" s="58"/>
      <c r="O53" s="58"/>
    </row>
    <row r="54" spans="1:15" x14ac:dyDescent="0.2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60"/>
      <c r="L54" s="58"/>
      <c r="M54" s="58"/>
      <c r="N54" s="58"/>
      <c r="O54" s="58"/>
    </row>
    <row r="55" spans="1:15" x14ac:dyDescent="0.25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60"/>
      <c r="L55" s="58"/>
      <c r="M55" s="58"/>
      <c r="N55" s="58"/>
      <c r="O55" s="58"/>
    </row>
    <row r="56" spans="1:15" x14ac:dyDescent="0.25">
      <c r="A56" s="58"/>
      <c r="B56" s="58"/>
      <c r="C56" s="58"/>
      <c r="D56" s="58"/>
      <c r="E56" s="58"/>
      <c r="F56" s="58"/>
      <c r="G56" s="58"/>
      <c r="H56" s="58"/>
      <c r="I56" s="58"/>
      <c r="J56" s="58"/>
      <c r="K56" s="60"/>
      <c r="L56" s="58"/>
      <c r="M56" s="58"/>
      <c r="N56" s="58"/>
      <c r="O56" s="58"/>
    </row>
    <row r="57" spans="1:15" x14ac:dyDescent="0.25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60"/>
      <c r="L57" s="58"/>
      <c r="M57" s="58"/>
      <c r="N57" s="58"/>
      <c r="O57" s="58"/>
    </row>
    <row r="58" spans="1:15" x14ac:dyDescent="0.25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60"/>
      <c r="L58" s="58"/>
      <c r="M58" s="58"/>
      <c r="N58" s="58"/>
      <c r="O58" s="58"/>
    </row>
    <row r="59" spans="1:15" x14ac:dyDescent="0.25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60"/>
      <c r="L59" s="58"/>
      <c r="M59" s="58"/>
      <c r="N59" s="58"/>
      <c r="O59" s="58"/>
    </row>
    <row r="60" spans="1:15" x14ac:dyDescent="0.25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60"/>
      <c r="L60" s="58"/>
      <c r="M60" s="58"/>
      <c r="N60" s="58"/>
      <c r="O60" s="58"/>
    </row>
    <row r="61" spans="1:15" x14ac:dyDescent="0.2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60"/>
      <c r="L61" s="58"/>
      <c r="M61" s="58"/>
      <c r="N61" s="58"/>
      <c r="O61" s="58"/>
    </row>
    <row r="62" spans="1:15" x14ac:dyDescent="0.25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60"/>
      <c r="L62" s="58"/>
      <c r="M62" s="58"/>
      <c r="N62" s="58"/>
      <c r="O62" s="58"/>
    </row>
    <row r="63" spans="1:15" x14ac:dyDescent="0.25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60"/>
      <c r="L63" s="58"/>
      <c r="M63" s="58"/>
      <c r="N63" s="58"/>
      <c r="O63" s="58"/>
    </row>
    <row r="64" spans="1:15" x14ac:dyDescent="0.25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60"/>
      <c r="L64" s="58"/>
      <c r="M64" s="58"/>
      <c r="N64" s="58"/>
      <c r="O64" s="58"/>
    </row>
    <row r="65" spans="1:15" x14ac:dyDescent="0.25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60"/>
      <c r="L65" s="58"/>
      <c r="M65" s="58"/>
      <c r="N65" s="58"/>
      <c r="O65" s="58"/>
    </row>
    <row r="66" spans="1:15" x14ac:dyDescent="0.25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60"/>
      <c r="L66" s="58"/>
      <c r="M66" s="58"/>
      <c r="N66" s="58"/>
      <c r="O66" s="58"/>
    </row>
    <row r="67" spans="1:15" x14ac:dyDescent="0.25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60"/>
      <c r="L67" s="58"/>
      <c r="M67" s="58"/>
      <c r="N67" s="58"/>
      <c r="O67" s="58"/>
    </row>
    <row r="68" spans="1:15" x14ac:dyDescent="0.25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60"/>
      <c r="L68" s="58"/>
      <c r="M68" s="58"/>
      <c r="N68" s="58"/>
      <c r="O68" s="58"/>
    </row>
    <row r="69" spans="1:15" x14ac:dyDescent="0.25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60"/>
      <c r="L69" s="58"/>
      <c r="M69" s="58"/>
      <c r="N69" s="58"/>
      <c r="O69" s="58"/>
    </row>
    <row r="70" spans="1:15" x14ac:dyDescent="0.25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60"/>
      <c r="L70" s="58"/>
      <c r="M70" s="58"/>
      <c r="N70" s="58"/>
      <c r="O70" s="58"/>
    </row>
    <row r="71" spans="1:15" x14ac:dyDescent="0.25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60"/>
      <c r="L71" s="58"/>
      <c r="M71" s="58"/>
      <c r="N71" s="58"/>
      <c r="O71" s="58"/>
    </row>
    <row r="72" spans="1:15" x14ac:dyDescent="0.25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60"/>
      <c r="L72" s="58"/>
      <c r="M72" s="58"/>
      <c r="N72" s="58"/>
      <c r="O72" s="58"/>
    </row>
    <row r="73" spans="1:15" x14ac:dyDescent="0.2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60"/>
      <c r="L73" s="58"/>
      <c r="M73" s="58"/>
      <c r="N73" s="58"/>
      <c r="O73" s="58"/>
    </row>
    <row r="74" spans="1:15" x14ac:dyDescent="0.25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60"/>
      <c r="L74" s="58"/>
      <c r="M74" s="58"/>
      <c r="N74" s="58"/>
      <c r="O74" s="58"/>
    </row>
    <row r="75" spans="1:15" x14ac:dyDescent="0.25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60"/>
      <c r="L75" s="58"/>
      <c r="M75" s="58"/>
      <c r="N75" s="58"/>
      <c r="O75" s="58"/>
    </row>
    <row r="76" spans="1:15" x14ac:dyDescent="0.25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60"/>
      <c r="L76" s="58"/>
      <c r="M76" s="58"/>
      <c r="N76" s="58"/>
      <c r="O76" s="58"/>
    </row>
    <row r="77" spans="1:15" x14ac:dyDescent="0.25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60"/>
      <c r="L77" s="58"/>
      <c r="M77" s="58"/>
      <c r="N77" s="58"/>
      <c r="O77" s="58"/>
    </row>
    <row r="78" spans="1:15" x14ac:dyDescent="0.25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60"/>
      <c r="L78" s="58"/>
      <c r="M78" s="58"/>
      <c r="N78" s="58"/>
      <c r="O78" s="58"/>
    </row>
    <row r="79" spans="1:15" x14ac:dyDescent="0.25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60"/>
      <c r="L79" s="58"/>
      <c r="M79" s="58"/>
      <c r="N79" s="58"/>
      <c r="O79" s="58"/>
    </row>
    <row r="80" spans="1:15" x14ac:dyDescent="0.25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60"/>
      <c r="L80" s="58"/>
      <c r="M80" s="58"/>
      <c r="N80" s="58"/>
      <c r="O80" s="58"/>
    </row>
    <row r="81" spans="1:15" x14ac:dyDescent="0.25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60"/>
      <c r="L81" s="58"/>
      <c r="M81" s="58"/>
      <c r="N81" s="58"/>
      <c r="O81" s="58"/>
    </row>
    <row r="82" spans="1:15" x14ac:dyDescent="0.25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60"/>
      <c r="L82" s="58"/>
      <c r="M82" s="58"/>
      <c r="N82" s="58"/>
      <c r="O82" s="58"/>
    </row>
    <row r="83" spans="1:15" x14ac:dyDescent="0.25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60"/>
      <c r="L83" s="58"/>
      <c r="M83" s="58"/>
      <c r="N83" s="58"/>
      <c r="O83" s="58"/>
    </row>
    <row r="84" spans="1:15" x14ac:dyDescent="0.25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60"/>
      <c r="L84" s="58"/>
      <c r="M84" s="58"/>
      <c r="N84" s="58"/>
      <c r="O84" s="58"/>
    </row>
    <row r="85" spans="1:15" x14ac:dyDescent="0.2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60"/>
      <c r="L85" s="58"/>
      <c r="M85" s="58"/>
      <c r="N85" s="58"/>
      <c r="O85" s="58"/>
    </row>
    <row r="86" spans="1:15" x14ac:dyDescent="0.25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60"/>
      <c r="L86" s="58"/>
      <c r="M86" s="58"/>
      <c r="N86" s="58"/>
      <c r="O86" s="58"/>
    </row>
    <row r="87" spans="1:15" x14ac:dyDescent="0.25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60"/>
      <c r="L87" s="58"/>
      <c r="M87" s="58"/>
      <c r="N87" s="58"/>
      <c r="O87" s="58"/>
    </row>
    <row r="88" spans="1:15" x14ac:dyDescent="0.25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60"/>
      <c r="L88" s="58"/>
      <c r="M88" s="58"/>
      <c r="N88" s="58"/>
      <c r="O88" s="58"/>
    </row>
    <row r="89" spans="1:15" x14ac:dyDescent="0.25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60"/>
      <c r="L89" s="58"/>
      <c r="M89" s="58"/>
      <c r="N89" s="58"/>
      <c r="O89" s="58"/>
    </row>
    <row r="90" spans="1:15" x14ac:dyDescent="0.25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60"/>
      <c r="L90" s="58"/>
      <c r="M90" s="58"/>
      <c r="N90" s="58"/>
      <c r="O90" s="58"/>
    </row>
    <row r="91" spans="1:15" x14ac:dyDescent="0.25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60"/>
      <c r="L91" s="58"/>
      <c r="M91" s="58"/>
      <c r="N91" s="58"/>
      <c r="O91" s="58"/>
    </row>
    <row r="92" spans="1:15" x14ac:dyDescent="0.25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60"/>
      <c r="L92" s="58"/>
      <c r="M92" s="58"/>
      <c r="N92" s="58"/>
      <c r="O92" s="58"/>
    </row>
    <row r="93" spans="1:15" x14ac:dyDescent="0.25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60"/>
      <c r="L93" s="58"/>
      <c r="M93" s="58"/>
      <c r="N93" s="58"/>
      <c r="O93" s="58"/>
    </row>
    <row r="94" spans="1:15" x14ac:dyDescent="0.25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60"/>
      <c r="L94" s="58"/>
      <c r="M94" s="58"/>
      <c r="N94" s="58"/>
      <c r="O94" s="58"/>
    </row>
    <row r="95" spans="1:15" x14ac:dyDescent="0.25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60"/>
      <c r="L95" s="58"/>
      <c r="M95" s="58"/>
      <c r="N95" s="58"/>
      <c r="O95" s="58"/>
    </row>
    <row r="96" spans="1:15" x14ac:dyDescent="0.25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60"/>
      <c r="L96" s="58"/>
      <c r="M96" s="58"/>
      <c r="N96" s="58"/>
      <c r="O96" s="58"/>
    </row>
    <row r="97" spans="1:15" x14ac:dyDescent="0.2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60"/>
      <c r="L97" s="58"/>
      <c r="M97" s="58"/>
      <c r="N97" s="58"/>
      <c r="O97" s="58"/>
    </row>
    <row r="98" spans="1:15" x14ac:dyDescent="0.25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60"/>
      <c r="L98" s="58"/>
      <c r="M98" s="58"/>
      <c r="N98" s="58"/>
      <c r="O98" s="58"/>
    </row>
    <row r="99" spans="1:15" x14ac:dyDescent="0.25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60"/>
      <c r="L99" s="58"/>
      <c r="M99" s="58"/>
      <c r="N99" s="58"/>
      <c r="O99" s="58"/>
    </row>
    <row r="100" spans="1:15" x14ac:dyDescent="0.25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60"/>
      <c r="L100" s="58"/>
      <c r="M100" s="58"/>
      <c r="N100" s="58"/>
      <c r="O100" s="58"/>
    </row>
    <row r="101" spans="1:15" x14ac:dyDescent="0.25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60"/>
      <c r="L101" s="58"/>
      <c r="M101" s="58"/>
      <c r="N101" s="58"/>
      <c r="O101" s="58"/>
    </row>
    <row r="102" spans="1:15" x14ac:dyDescent="0.25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60"/>
      <c r="L102" s="58"/>
      <c r="M102" s="58"/>
      <c r="N102" s="58"/>
      <c r="O102" s="58"/>
    </row>
    <row r="103" spans="1:15" x14ac:dyDescent="0.25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60"/>
      <c r="L103" s="58"/>
      <c r="M103" s="58"/>
      <c r="N103" s="58"/>
      <c r="O103" s="58"/>
    </row>
    <row r="104" spans="1:15" x14ac:dyDescent="0.25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60"/>
      <c r="L104" s="58"/>
      <c r="M104" s="58"/>
      <c r="N104" s="58"/>
      <c r="O104" s="58"/>
    </row>
    <row r="105" spans="1:15" x14ac:dyDescent="0.25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60"/>
      <c r="L105" s="58"/>
      <c r="M105" s="58"/>
      <c r="N105" s="58"/>
      <c r="O105" s="58"/>
    </row>
    <row r="106" spans="1:15" x14ac:dyDescent="0.25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60"/>
      <c r="L106" s="58"/>
      <c r="M106" s="58"/>
      <c r="N106" s="58"/>
      <c r="O106" s="58"/>
    </row>
    <row r="107" spans="1:15" x14ac:dyDescent="0.25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60"/>
      <c r="L107" s="58"/>
      <c r="M107" s="58"/>
      <c r="N107" s="58"/>
      <c r="O107" s="58"/>
    </row>
    <row r="108" spans="1:15" x14ac:dyDescent="0.2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60"/>
      <c r="L108" s="58"/>
      <c r="M108" s="58"/>
      <c r="N108" s="58"/>
      <c r="O108" s="58"/>
    </row>
    <row r="109" spans="1:15" x14ac:dyDescent="0.2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60"/>
      <c r="L109" s="58"/>
      <c r="M109" s="58"/>
      <c r="N109" s="58"/>
      <c r="O109" s="58"/>
    </row>
    <row r="110" spans="1:15" x14ac:dyDescent="0.25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60"/>
      <c r="L110" s="58"/>
      <c r="M110" s="58"/>
      <c r="N110" s="58"/>
      <c r="O110" s="58"/>
    </row>
    <row r="111" spans="1:15" x14ac:dyDescent="0.25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60"/>
      <c r="L111" s="58"/>
      <c r="M111" s="58"/>
      <c r="N111" s="58"/>
      <c r="O111" s="58"/>
    </row>
    <row r="112" spans="1:15" x14ac:dyDescent="0.25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60"/>
      <c r="L112" s="58"/>
      <c r="M112" s="58"/>
      <c r="N112" s="58"/>
      <c r="O112" s="58"/>
    </row>
    <row r="113" spans="1:15" x14ac:dyDescent="0.25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60"/>
      <c r="L113" s="58"/>
      <c r="M113" s="58"/>
      <c r="N113" s="58"/>
      <c r="O113" s="58"/>
    </row>
    <row r="114" spans="1:15" x14ac:dyDescent="0.25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60"/>
      <c r="L114" s="58"/>
      <c r="M114" s="58"/>
      <c r="N114" s="58"/>
      <c r="O114" s="58"/>
    </row>
    <row r="115" spans="1:15" x14ac:dyDescent="0.25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60"/>
      <c r="L115" s="58"/>
      <c r="M115" s="58"/>
      <c r="N115" s="58"/>
      <c r="O115" s="58"/>
    </row>
    <row r="116" spans="1:15" x14ac:dyDescent="0.25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60"/>
      <c r="L116" s="58"/>
      <c r="M116" s="58"/>
      <c r="N116" s="58"/>
      <c r="O116" s="58"/>
    </row>
    <row r="117" spans="1:15" x14ac:dyDescent="0.25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60"/>
      <c r="L117" s="58"/>
      <c r="M117" s="58"/>
      <c r="N117" s="58"/>
      <c r="O117" s="58"/>
    </row>
    <row r="118" spans="1:15" x14ac:dyDescent="0.25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60"/>
      <c r="L118" s="58"/>
      <c r="M118" s="58"/>
      <c r="N118" s="58"/>
      <c r="O118" s="58"/>
    </row>
    <row r="119" spans="1:15" x14ac:dyDescent="0.25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60"/>
      <c r="L119" s="58"/>
      <c r="M119" s="58"/>
      <c r="N119" s="58"/>
      <c r="O119" s="58"/>
    </row>
    <row r="120" spans="1:15" x14ac:dyDescent="0.25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60"/>
      <c r="L120" s="58"/>
      <c r="M120" s="58"/>
      <c r="N120" s="58"/>
      <c r="O120" s="58"/>
    </row>
    <row r="121" spans="1:15" x14ac:dyDescent="0.2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60"/>
      <c r="L121" s="58"/>
      <c r="M121" s="58"/>
      <c r="N121" s="58"/>
      <c r="O121" s="58"/>
    </row>
    <row r="122" spans="1:15" x14ac:dyDescent="0.25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60"/>
      <c r="L122" s="58"/>
      <c r="M122" s="58"/>
      <c r="N122" s="58"/>
      <c r="O122" s="58"/>
    </row>
    <row r="123" spans="1:15" x14ac:dyDescent="0.25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60"/>
      <c r="L123" s="58"/>
      <c r="M123" s="58"/>
      <c r="N123" s="58"/>
      <c r="O123" s="58"/>
    </row>
    <row r="124" spans="1:15" x14ac:dyDescent="0.25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60"/>
      <c r="L124" s="58"/>
      <c r="M124" s="58"/>
      <c r="N124" s="58"/>
      <c r="O124" s="58"/>
    </row>
    <row r="125" spans="1:15" x14ac:dyDescent="0.25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60"/>
      <c r="L125" s="58"/>
      <c r="M125" s="58"/>
      <c r="N125" s="58"/>
      <c r="O125" s="58"/>
    </row>
    <row r="126" spans="1:15" x14ac:dyDescent="0.25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60"/>
      <c r="L126" s="58"/>
      <c r="M126" s="58"/>
      <c r="N126" s="58"/>
      <c r="O126" s="58"/>
    </row>
    <row r="127" spans="1:15" x14ac:dyDescent="0.25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60"/>
      <c r="L127" s="58"/>
      <c r="M127" s="58"/>
      <c r="N127" s="58"/>
      <c r="O127" s="58"/>
    </row>
    <row r="128" spans="1:15" x14ac:dyDescent="0.25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60"/>
      <c r="L128" s="58"/>
      <c r="M128" s="58"/>
      <c r="N128" s="58"/>
      <c r="O128" s="58"/>
    </row>
    <row r="129" spans="1:15" x14ac:dyDescent="0.25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60"/>
      <c r="L129" s="58"/>
      <c r="M129" s="58"/>
      <c r="N129" s="58"/>
      <c r="O129" s="58"/>
    </row>
    <row r="130" spans="1:15" x14ac:dyDescent="0.25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60"/>
      <c r="L130" s="58"/>
      <c r="M130" s="58"/>
      <c r="N130" s="58"/>
      <c r="O130" s="58"/>
    </row>
    <row r="131" spans="1:15" x14ac:dyDescent="0.25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60"/>
      <c r="L131" s="58"/>
      <c r="M131" s="58"/>
      <c r="N131" s="58"/>
      <c r="O131" s="58"/>
    </row>
    <row r="132" spans="1:15" x14ac:dyDescent="0.25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60"/>
      <c r="L132" s="58"/>
      <c r="M132" s="58"/>
      <c r="N132" s="58"/>
      <c r="O132" s="58"/>
    </row>
    <row r="133" spans="1:15" x14ac:dyDescent="0.25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60"/>
      <c r="L133" s="58"/>
      <c r="M133" s="58"/>
      <c r="N133" s="58"/>
      <c r="O133" s="58"/>
    </row>
    <row r="134" spans="1:15" x14ac:dyDescent="0.25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60"/>
      <c r="L134" s="58"/>
      <c r="M134" s="58"/>
      <c r="N134" s="58"/>
      <c r="O134" s="58"/>
    </row>
    <row r="135" spans="1:15" x14ac:dyDescent="0.25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60"/>
      <c r="L135" s="58"/>
      <c r="M135" s="58"/>
      <c r="N135" s="58"/>
      <c r="O135" s="58"/>
    </row>
    <row r="136" spans="1:15" x14ac:dyDescent="0.25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60"/>
      <c r="L136" s="58"/>
      <c r="M136" s="58"/>
      <c r="N136" s="58"/>
      <c r="O136" s="58"/>
    </row>
    <row r="137" spans="1:15" x14ac:dyDescent="0.25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60"/>
      <c r="L137" s="58"/>
      <c r="M137" s="58"/>
      <c r="N137" s="58"/>
      <c r="O137" s="58"/>
    </row>
    <row r="138" spans="1:15" x14ac:dyDescent="0.25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60"/>
      <c r="L138" s="58"/>
      <c r="M138" s="58"/>
      <c r="N138" s="58"/>
      <c r="O138" s="58"/>
    </row>
    <row r="139" spans="1:15" x14ac:dyDescent="0.25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60"/>
      <c r="L139" s="58"/>
      <c r="M139" s="58"/>
      <c r="N139" s="58"/>
      <c r="O139" s="58"/>
    </row>
    <row r="140" spans="1:15" x14ac:dyDescent="0.25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60"/>
      <c r="L140" s="58"/>
      <c r="M140" s="58"/>
      <c r="N140" s="58"/>
      <c r="O140" s="58"/>
    </row>
    <row r="141" spans="1:15" x14ac:dyDescent="0.25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60"/>
      <c r="L141" s="58"/>
      <c r="M141" s="58"/>
      <c r="N141" s="58"/>
      <c r="O141" s="58"/>
    </row>
    <row r="142" spans="1:15" x14ac:dyDescent="0.25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60"/>
      <c r="L142" s="58"/>
      <c r="M142" s="58"/>
      <c r="N142" s="58"/>
      <c r="O142" s="58"/>
    </row>
    <row r="143" spans="1:15" x14ac:dyDescent="0.25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60"/>
      <c r="L143" s="58"/>
      <c r="M143" s="58"/>
      <c r="N143" s="58"/>
      <c r="O143" s="58"/>
    </row>
    <row r="144" spans="1:15" x14ac:dyDescent="0.25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60"/>
      <c r="L144" s="58"/>
      <c r="M144" s="58"/>
      <c r="N144" s="58"/>
      <c r="O144" s="58"/>
    </row>
    <row r="145" spans="1:15" x14ac:dyDescent="0.25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60"/>
      <c r="L145" s="58"/>
      <c r="M145" s="58"/>
      <c r="N145" s="58"/>
      <c r="O145" s="58"/>
    </row>
    <row r="146" spans="1:15" x14ac:dyDescent="0.25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60"/>
      <c r="L146" s="58"/>
      <c r="M146" s="58"/>
      <c r="N146" s="58"/>
      <c r="O146" s="58"/>
    </row>
    <row r="147" spans="1:15" x14ac:dyDescent="0.25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60"/>
      <c r="L147" s="58"/>
      <c r="M147" s="58"/>
      <c r="N147" s="58"/>
      <c r="O147" s="58"/>
    </row>
    <row r="148" spans="1:15" x14ac:dyDescent="0.25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60"/>
      <c r="L148" s="58"/>
      <c r="M148" s="58"/>
      <c r="N148" s="58"/>
      <c r="O148" s="58"/>
    </row>
    <row r="149" spans="1:15" x14ac:dyDescent="0.25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60"/>
      <c r="L149" s="58"/>
      <c r="M149" s="58"/>
      <c r="N149" s="58"/>
      <c r="O149" s="58"/>
    </row>
    <row r="150" spans="1:15" x14ac:dyDescent="0.25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60"/>
      <c r="L150" s="58"/>
      <c r="M150" s="58"/>
      <c r="N150" s="58"/>
      <c r="O150" s="58"/>
    </row>
    <row r="151" spans="1:15" x14ac:dyDescent="0.25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60"/>
      <c r="L151" s="58"/>
      <c r="M151" s="58"/>
      <c r="N151" s="58"/>
      <c r="O151" s="58"/>
    </row>
    <row r="152" spans="1:15" x14ac:dyDescent="0.25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60"/>
      <c r="L152" s="58"/>
      <c r="M152" s="58"/>
      <c r="N152" s="58"/>
      <c r="O152" s="58"/>
    </row>
    <row r="153" spans="1:15" x14ac:dyDescent="0.25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60"/>
      <c r="L153" s="58"/>
      <c r="M153" s="58"/>
      <c r="N153" s="58"/>
      <c r="O153" s="58"/>
    </row>
    <row r="154" spans="1:15" x14ac:dyDescent="0.25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60"/>
      <c r="L154" s="58"/>
      <c r="M154" s="58"/>
      <c r="N154" s="58"/>
      <c r="O154" s="58"/>
    </row>
    <row r="155" spans="1:15" x14ac:dyDescent="0.25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60"/>
      <c r="L155" s="58"/>
      <c r="M155" s="58"/>
      <c r="N155" s="58"/>
      <c r="O155" s="58"/>
    </row>
    <row r="156" spans="1:15" x14ac:dyDescent="0.25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60"/>
      <c r="L156" s="58"/>
      <c r="M156" s="58"/>
      <c r="N156" s="58"/>
      <c r="O156" s="58"/>
    </row>
    <row r="157" spans="1:15" x14ac:dyDescent="0.25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60"/>
      <c r="L157" s="58"/>
      <c r="M157" s="58"/>
      <c r="N157" s="58"/>
      <c r="O157" s="58"/>
    </row>
    <row r="158" spans="1:15" x14ac:dyDescent="0.25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60"/>
      <c r="L158" s="58"/>
      <c r="M158" s="58"/>
      <c r="N158" s="58"/>
      <c r="O158" s="58"/>
    </row>
    <row r="159" spans="1:15" x14ac:dyDescent="0.25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60"/>
      <c r="L159" s="58"/>
      <c r="M159" s="58"/>
      <c r="N159" s="58"/>
      <c r="O159" s="58"/>
    </row>
    <row r="160" spans="1:15" x14ac:dyDescent="0.25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60"/>
      <c r="L160" s="58"/>
      <c r="M160" s="58"/>
      <c r="N160" s="58"/>
      <c r="O160" s="58"/>
    </row>
    <row r="161" spans="1:15" x14ac:dyDescent="0.25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60"/>
      <c r="L161" s="58"/>
      <c r="M161" s="58"/>
      <c r="N161" s="58"/>
      <c r="O161" s="58"/>
    </row>
    <row r="162" spans="1:15" x14ac:dyDescent="0.25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60"/>
      <c r="L162" s="58"/>
      <c r="M162" s="58"/>
      <c r="N162" s="58"/>
      <c r="O162" s="58"/>
    </row>
    <row r="163" spans="1:15" x14ac:dyDescent="0.25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60"/>
      <c r="L163" s="58"/>
      <c r="M163" s="58"/>
      <c r="N163" s="58"/>
      <c r="O163" s="58"/>
    </row>
    <row r="164" spans="1:15" x14ac:dyDescent="0.25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60"/>
      <c r="L164" s="58"/>
      <c r="M164" s="58"/>
      <c r="N164" s="58"/>
      <c r="O164" s="58"/>
    </row>
    <row r="165" spans="1:15" x14ac:dyDescent="0.25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60"/>
      <c r="L165" s="58"/>
      <c r="M165" s="58"/>
      <c r="N165" s="58"/>
      <c r="O165" s="58"/>
    </row>
    <row r="166" spans="1:15" x14ac:dyDescent="0.25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60"/>
      <c r="L166" s="58"/>
      <c r="M166" s="58"/>
      <c r="N166" s="58"/>
      <c r="O166" s="58"/>
    </row>
    <row r="167" spans="1:15" x14ac:dyDescent="0.25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60"/>
      <c r="L167" s="58"/>
      <c r="M167" s="58"/>
      <c r="N167" s="58"/>
      <c r="O167" s="58"/>
    </row>
    <row r="168" spans="1:15" x14ac:dyDescent="0.25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60"/>
      <c r="L168" s="58"/>
      <c r="M168" s="58"/>
      <c r="N168" s="58"/>
      <c r="O168" s="58"/>
    </row>
    <row r="169" spans="1:15" x14ac:dyDescent="0.25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60"/>
      <c r="L169" s="58"/>
      <c r="M169" s="58"/>
      <c r="N169" s="58"/>
      <c r="O169" s="58"/>
    </row>
    <row r="170" spans="1:15" x14ac:dyDescent="0.25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60"/>
      <c r="L170" s="58"/>
      <c r="M170" s="58"/>
      <c r="N170" s="58"/>
      <c r="O170" s="58"/>
    </row>
    <row r="171" spans="1:15" x14ac:dyDescent="0.25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60"/>
      <c r="L171" s="58"/>
      <c r="M171" s="58"/>
      <c r="N171" s="58"/>
      <c r="O171" s="58"/>
    </row>
    <row r="172" spans="1:15" x14ac:dyDescent="0.25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60"/>
      <c r="L172" s="58"/>
      <c r="M172" s="58"/>
      <c r="N172" s="58"/>
      <c r="O172" s="58"/>
    </row>
    <row r="173" spans="1:15" x14ac:dyDescent="0.25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60"/>
      <c r="L173" s="58"/>
      <c r="M173" s="58"/>
      <c r="N173" s="58"/>
      <c r="O173" s="58"/>
    </row>
    <row r="174" spans="1:15" x14ac:dyDescent="0.25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60"/>
      <c r="L174" s="58"/>
      <c r="M174" s="58"/>
      <c r="N174" s="58"/>
      <c r="O174" s="58"/>
    </row>
    <row r="175" spans="1:15" x14ac:dyDescent="0.25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60"/>
      <c r="L175" s="58"/>
      <c r="M175" s="58"/>
      <c r="N175" s="58"/>
      <c r="O175" s="58"/>
    </row>
    <row r="176" spans="1:15" x14ac:dyDescent="0.25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60"/>
      <c r="L176" s="58"/>
      <c r="M176" s="58"/>
      <c r="N176" s="58"/>
      <c r="O176" s="58"/>
    </row>
    <row r="177" spans="1:15" x14ac:dyDescent="0.25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60"/>
      <c r="L177" s="58"/>
      <c r="M177" s="58"/>
      <c r="N177" s="58"/>
      <c r="O177" s="58"/>
    </row>
    <row r="178" spans="1:15" x14ac:dyDescent="0.25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60"/>
      <c r="L178" s="58"/>
      <c r="M178" s="58"/>
      <c r="N178" s="58"/>
      <c r="O178" s="58"/>
    </row>
    <row r="179" spans="1:15" x14ac:dyDescent="0.25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60"/>
      <c r="L179" s="58"/>
      <c r="M179" s="58"/>
      <c r="N179" s="58"/>
      <c r="O179" s="58"/>
    </row>
    <row r="180" spans="1:15" x14ac:dyDescent="0.25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60"/>
      <c r="L180" s="58"/>
      <c r="M180" s="58"/>
      <c r="N180" s="58"/>
      <c r="O180" s="58"/>
    </row>
    <row r="181" spans="1:15" x14ac:dyDescent="0.25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60"/>
      <c r="L181" s="58"/>
      <c r="M181" s="58"/>
      <c r="N181" s="58"/>
      <c r="O181" s="58"/>
    </row>
    <row r="182" spans="1:15" x14ac:dyDescent="0.25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60"/>
      <c r="L182" s="58"/>
      <c r="M182" s="58"/>
      <c r="N182" s="58"/>
      <c r="O182" s="58"/>
    </row>
    <row r="183" spans="1:15" x14ac:dyDescent="0.25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60"/>
      <c r="L183" s="58"/>
      <c r="M183" s="58"/>
      <c r="N183" s="58"/>
      <c r="O183" s="58"/>
    </row>
    <row r="184" spans="1:15" x14ac:dyDescent="0.25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60"/>
      <c r="L184" s="58"/>
      <c r="M184" s="58"/>
      <c r="N184" s="58"/>
      <c r="O184" s="58"/>
    </row>
    <row r="185" spans="1:15" x14ac:dyDescent="0.25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60"/>
      <c r="L185" s="58"/>
      <c r="M185" s="58"/>
      <c r="N185" s="58"/>
      <c r="O185" s="58"/>
    </row>
    <row r="186" spans="1:15" x14ac:dyDescent="0.25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60"/>
      <c r="L186" s="58"/>
      <c r="M186" s="58"/>
      <c r="N186" s="58"/>
      <c r="O186" s="58"/>
    </row>
    <row r="187" spans="1:15" x14ac:dyDescent="0.25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60"/>
      <c r="L187" s="58"/>
      <c r="M187" s="58"/>
      <c r="N187" s="58"/>
      <c r="O187" s="58"/>
    </row>
    <row r="188" spans="1:15" x14ac:dyDescent="0.25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60"/>
      <c r="L188" s="58"/>
      <c r="M188" s="58"/>
      <c r="N188" s="58"/>
      <c r="O188" s="58"/>
    </row>
    <row r="189" spans="1:15" x14ac:dyDescent="0.25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60"/>
      <c r="L189" s="58"/>
      <c r="M189" s="58"/>
      <c r="N189" s="58"/>
      <c r="O189" s="58"/>
    </row>
    <row r="190" spans="1:15" x14ac:dyDescent="0.25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60"/>
      <c r="L190" s="58"/>
      <c r="M190" s="58"/>
      <c r="N190" s="58"/>
      <c r="O190" s="58"/>
    </row>
    <row r="191" spans="1:15" x14ac:dyDescent="0.25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60"/>
      <c r="L191" s="58"/>
      <c r="M191" s="58"/>
      <c r="N191" s="58"/>
      <c r="O191" s="58"/>
    </row>
    <row r="192" spans="1:15" x14ac:dyDescent="0.25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60"/>
      <c r="L192" s="58"/>
      <c r="M192" s="58"/>
      <c r="N192" s="58"/>
      <c r="O192" s="58"/>
    </row>
    <row r="193" spans="1:15" x14ac:dyDescent="0.25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60"/>
      <c r="L193" s="58"/>
      <c r="M193" s="58"/>
      <c r="N193" s="58"/>
      <c r="O193" s="58"/>
    </row>
    <row r="194" spans="1:15" x14ac:dyDescent="0.25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60"/>
      <c r="L194" s="58"/>
      <c r="M194" s="58"/>
      <c r="N194" s="58"/>
      <c r="O194" s="58"/>
    </row>
    <row r="195" spans="1:15" x14ac:dyDescent="0.25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60"/>
      <c r="L195" s="58"/>
      <c r="M195" s="58"/>
      <c r="N195" s="58"/>
      <c r="O195" s="58"/>
    </row>
    <row r="196" spans="1:15" x14ac:dyDescent="0.25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60"/>
      <c r="L196" s="58"/>
      <c r="M196" s="58"/>
      <c r="N196" s="58"/>
      <c r="O196" s="58"/>
    </row>
    <row r="197" spans="1:15" x14ac:dyDescent="0.25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60"/>
      <c r="L197" s="58"/>
      <c r="M197" s="58"/>
      <c r="N197" s="58"/>
      <c r="O197" s="58"/>
    </row>
    <row r="198" spans="1:15" x14ac:dyDescent="0.25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60"/>
      <c r="L198" s="58"/>
      <c r="M198" s="58"/>
      <c r="N198" s="58"/>
      <c r="O198" s="58"/>
    </row>
    <row r="199" spans="1:15" x14ac:dyDescent="0.25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60"/>
      <c r="L199" s="58"/>
      <c r="M199" s="58"/>
      <c r="N199" s="58"/>
      <c r="O199" s="58"/>
    </row>
    <row r="200" spans="1:15" x14ac:dyDescent="0.25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60"/>
      <c r="L200" s="58"/>
      <c r="M200" s="58"/>
      <c r="N200" s="58"/>
      <c r="O200" s="58"/>
    </row>
    <row r="201" spans="1:15" x14ac:dyDescent="0.25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60"/>
      <c r="L201" s="58"/>
      <c r="M201" s="58"/>
      <c r="N201" s="58"/>
      <c r="O201" s="58"/>
    </row>
    <row r="202" spans="1:15" x14ac:dyDescent="0.25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60"/>
      <c r="L202" s="58"/>
      <c r="M202" s="58"/>
      <c r="N202" s="58"/>
      <c r="O202" s="58"/>
    </row>
    <row r="203" spans="1:15" x14ac:dyDescent="0.25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60"/>
      <c r="L203" s="58"/>
      <c r="M203" s="58"/>
      <c r="N203" s="58"/>
      <c r="O203" s="58"/>
    </row>
    <row r="204" spans="1:15" x14ac:dyDescent="0.25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60"/>
      <c r="L204" s="58"/>
      <c r="M204" s="58"/>
      <c r="N204" s="58"/>
      <c r="O204" s="58"/>
    </row>
    <row r="205" spans="1:15" x14ac:dyDescent="0.25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60"/>
      <c r="L205" s="58"/>
      <c r="M205" s="58"/>
      <c r="N205" s="58"/>
      <c r="O205" s="58"/>
    </row>
    <row r="206" spans="1:15" x14ac:dyDescent="0.25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60"/>
      <c r="L206" s="58"/>
      <c r="M206" s="58"/>
      <c r="N206" s="58"/>
      <c r="O206" s="58"/>
    </row>
    <row r="207" spans="1:15" x14ac:dyDescent="0.25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60"/>
      <c r="L207" s="58"/>
      <c r="M207" s="58"/>
      <c r="N207" s="58"/>
      <c r="O207" s="58"/>
    </row>
    <row r="208" spans="1:15" x14ac:dyDescent="0.25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60"/>
      <c r="L208" s="58"/>
      <c r="M208" s="58"/>
      <c r="N208" s="58"/>
      <c r="O208" s="58"/>
    </row>
    <row r="209" spans="1:15" x14ac:dyDescent="0.25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60"/>
      <c r="L209" s="58"/>
      <c r="M209" s="58"/>
      <c r="N209" s="58"/>
      <c r="O209" s="58"/>
    </row>
    <row r="210" spans="1:15" x14ac:dyDescent="0.25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60"/>
      <c r="L210" s="58"/>
      <c r="M210" s="58"/>
      <c r="N210" s="58"/>
      <c r="O210" s="58"/>
    </row>
    <row r="211" spans="1:15" x14ac:dyDescent="0.25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60"/>
      <c r="L211" s="58"/>
      <c r="M211" s="58"/>
      <c r="N211" s="58"/>
      <c r="O211" s="58"/>
    </row>
    <row r="212" spans="1:15" x14ac:dyDescent="0.25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60"/>
      <c r="L212" s="58"/>
      <c r="M212" s="58"/>
      <c r="N212" s="58"/>
      <c r="O212" s="58"/>
    </row>
    <row r="213" spans="1:15" x14ac:dyDescent="0.25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60"/>
      <c r="L213" s="58"/>
      <c r="M213" s="58"/>
      <c r="N213" s="58"/>
      <c r="O213" s="58"/>
    </row>
    <row r="214" spans="1:15" x14ac:dyDescent="0.25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60"/>
      <c r="L214" s="58"/>
      <c r="M214" s="58"/>
      <c r="N214" s="58"/>
      <c r="O214" s="58"/>
    </row>
    <row r="215" spans="1:15" x14ac:dyDescent="0.25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60"/>
      <c r="L215" s="58"/>
      <c r="M215" s="58"/>
      <c r="N215" s="58"/>
      <c r="O215" s="58"/>
    </row>
    <row r="216" spans="1:15" x14ac:dyDescent="0.25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60"/>
      <c r="L216" s="58"/>
      <c r="M216" s="58"/>
      <c r="N216" s="58"/>
      <c r="O216" s="58"/>
    </row>
    <row r="217" spans="1:15" x14ac:dyDescent="0.25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60"/>
      <c r="L217" s="58"/>
      <c r="M217" s="58"/>
      <c r="N217" s="58"/>
      <c r="O217" s="58"/>
    </row>
    <row r="218" spans="1:15" x14ac:dyDescent="0.25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60"/>
      <c r="L218" s="58"/>
      <c r="M218" s="58"/>
      <c r="N218" s="58"/>
      <c r="O218" s="58"/>
    </row>
    <row r="219" spans="1:15" x14ac:dyDescent="0.25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60"/>
      <c r="L219" s="58"/>
      <c r="M219" s="58"/>
      <c r="N219" s="58"/>
      <c r="O219" s="58"/>
    </row>
    <row r="220" spans="1:15" x14ac:dyDescent="0.25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60"/>
      <c r="L220" s="58"/>
      <c r="M220" s="58"/>
      <c r="N220" s="58"/>
      <c r="O220" s="58"/>
    </row>
    <row r="221" spans="1:15" x14ac:dyDescent="0.25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60"/>
      <c r="L221" s="58"/>
      <c r="M221" s="58"/>
      <c r="N221" s="58"/>
      <c r="O221" s="58"/>
    </row>
    <row r="222" spans="1:15" x14ac:dyDescent="0.25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60"/>
      <c r="L222" s="58"/>
      <c r="M222" s="58"/>
      <c r="N222" s="58"/>
      <c r="O222" s="58"/>
    </row>
    <row r="223" spans="1:15" x14ac:dyDescent="0.25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60"/>
      <c r="L223" s="58"/>
      <c r="M223" s="58"/>
      <c r="N223" s="58"/>
      <c r="O223" s="58"/>
    </row>
    <row r="224" spans="1:15" x14ac:dyDescent="0.25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60"/>
      <c r="L224" s="58"/>
      <c r="M224" s="58"/>
      <c r="N224" s="58"/>
      <c r="O224" s="58"/>
    </row>
    <row r="225" spans="1:15" x14ac:dyDescent="0.25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60"/>
      <c r="L225" s="58"/>
      <c r="M225" s="58"/>
      <c r="N225" s="58"/>
      <c r="O225" s="58"/>
    </row>
    <row r="226" spans="1:15" x14ac:dyDescent="0.25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60"/>
      <c r="L226" s="58"/>
      <c r="M226" s="58"/>
      <c r="N226" s="58"/>
      <c r="O226" s="58"/>
    </row>
    <row r="227" spans="1:15" x14ac:dyDescent="0.25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60"/>
      <c r="L227" s="58"/>
      <c r="M227" s="58"/>
      <c r="N227" s="58"/>
      <c r="O227" s="58"/>
    </row>
    <row r="228" spans="1:15" x14ac:dyDescent="0.25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60"/>
      <c r="L228" s="58"/>
      <c r="M228" s="58"/>
      <c r="N228" s="58"/>
      <c r="O228" s="58"/>
    </row>
    <row r="229" spans="1:15" x14ac:dyDescent="0.25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60"/>
      <c r="L229" s="58"/>
      <c r="M229" s="58"/>
      <c r="N229" s="58"/>
      <c r="O229" s="58"/>
    </row>
    <row r="230" spans="1:15" x14ac:dyDescent="0.25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60"/>
      <c r="L230" s="58"/>
      <c r="M230" s="58"/>
      <c r="N230" s="58"/>
      <c r="O230" s="58"/>
    </row>
    <row r="231" spans="1:15" x14ac:dyDescent="0.25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60"/>
      <c r="L231" s="58"/>
      <c r="M231" s="58"/>
      <c r="N231" s="58"/>
      <c r="O231" s="58"/>
    </row>
    <row r="232" spans="1:15" x14ac:dyDescent="0.25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60"/>
      <c r="L232" s="58"/>
      <c r="M232" s="58"/>
      <c r="N232" s="58"/>
      <c r="O232" s="58"/>
    </row>
    <row r="233" spans="1:15" x14ac:dyDescent="0.25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60"/>
      <c r="L233" s="58"/>
      <c r="M233" s="58"/>
      <c r="N233" s="58"/>
      <c r="O233" s="58"/>
    </row>
    <row r="234" spans="1:15" x14ac:dyDescent="0.25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60"/>
      <c r="L234" s="58"/>
      <c r="M234" s="58"/>
      <c r="N234" s="58"/>
      <c r="O234" s="58"/>
    </row>
    <row r="235" spans="1:15" x14ac:dyDescent="0.25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60"/>
      <c r="L235" s="58"/>
      <c r="M235" s="58"/>
      <c r="N235" s="58"/>
      <c r="O235" s="58"/>
    </row>
    <row r="236" spans="1:15" x14ac:dyDescent="0.25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60"/>
      <c r="L236" s="58"/>
      <c r="M236" s="58"/>
      <c r="N236" s="58"/>
      <c r="O236" s="58"/>
    </row>
    <row r="237" spans="1:15" x14ac:dyDescent="0.25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60"/>
      <c r="L237" s="58"/>
      <c r="M237" s="58"/>
      <c r="N237" s="58"/>
      <c r="O237" s="58"/>
    </row>
    <row r="238" spans="1:15" x14ac:dyDescent="0.25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60"/>
      <c r="L238" s="58"/>
      <c r="M238" s="58"/>
      <c r="N238" s="58"/>
      <c r="O238" s="58"/>
    </row>
    <row r="239" spans="1:15" x14ac:dyDescent="0.25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60"/>
      <c r="L239" s="58"/>
      <c r="M239" s="58"/>
      <c r="N239" s="58"/>
      <c r="O239" s="58"/>
    </row>
    <row r="240" spans="1:15" x14ac:dyDescent="0.25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60"/>
      <c r="L240" s="58"/>
      <c r="M240" s="58"/>
      <c r="N240" s="58"/>
      <c r="O240" s="58"/>
    </row>
    <row r="241" spans="1:15" x14ac:dyDescent="0.25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60"/>
      <c r="L241" s="58"/>
      <c r="M241" s="58"/>
      <c r="N241" s="58"/>
      <c r="O241" s="58"/>
    </row>
    <row r="242" spans="1:15" x14ac:dyDescent="0.25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60"/>
      <c r="L242" s="58"/>
      <c r="M242" s="58"/>
      <c r="N242" s="58"/>
      <c r="O242" s="58"/>
    </row>
    <row r="243" spans="1:15" x14ac:dyDescent="0.25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60"/>
      <c r="L243" s="58"/>
      <c r="M243" s="58"/>
      <c r="N243" s="58"/>
      <c r="O243" s="58"/>
    </row>
    <row r="244" spans="1:15" x14ac:dyDescent="0.25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60"/>
      <c r="L244" s="58"/>
      <c r="M244" s="58"/>
      <c r="N244" s="58"/>
      <c r="O244" s="58"/>
    </row>
    <row r="245" spans="1:15" x14ac:dyDescent="0.25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60"/>
      <c r="L245" s="58"/>
      <c r="M245" s="58"/>
      <c r="N245" s="58"/>
      <c r="O245" s="58"/>
    </row>
    <row r="246" spans="1:15" x14ac:dyDescent="0.25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60"/>
      <c r="L246" s="58"/>
      <c r="M246" s="58"/>
      <c r="N246" s="58"/>
      <c r="O246" s="58"/>
    </row>
    <row r="247" spans="1:15" x14ac:dyDescent="0.25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60"/>
      <c r="L247" s="58"/>
      <c r="M247" s="58"/>
      <c r="N247" s="58"/>
      <c r="O247" s="58"/>
    </row>
    <row r="248" spans="1:15" x14ac:dyDescent="0.25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60"/>
      <c r="L248" s="58"/>
      <c r="M248" s="58"/>
      <c r="N248" s="58"/>
      <c r="O248" s="58"/>
    </row>
    <row r="249" spans="1:15" x14ac:dyDescent="0.25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60"/>
      <c r="L249" s="58"/>
      <c r="M249" s="58"/>
      <c r="N249" s="58"/>
      <c r="O249" s="58"/>
    </row>
    <row r="250" spans="1:15" x14ac:dyDescent="0.25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60"/>
      <c r="L250" s="58"/>
      <c r="M250" s="58"/>
      <c r="N250" s="58"/>
      <c r="O250" s="58"/>
    </row>
    <row r="251" spans="1:15" x14ac:dyDescent="0.25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60"/>
      <c r="L251" s="58"/>
      <c r="M251" s="58"/>
      <c r="N251" s="58"/>
      <c r="O251" s="58"/>
    </row>
    <row r="252" spans="1:15" x14ac:dyDescent="0.25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60"/>
      <c r="L252" s="58"/>
      <c r="M252" s="58"/>
      <c r="N252" s="58"/>
      <c r="O252" s="58"/>
    </row>
    <row r="253" spans="1:15" x14ac:dyDescent="0.25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60"/>
      <c r="L253" s="58"/>
      <c r="M253" s="58"/>
      <c r="N253" s="58"/>
      <c r="O253" s="58"/>
    </row>
    <row r="254" spans="1:15" x14ac:dyDescent="0.25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60"/>
      <c r="L254" s="58"/>
      <c r="M254" s="58"/>
      <c r="N254" s="58"/>
      <c r="O254" s="58"/>
    </row>
    <row r="255" spans="1:15" x14ac:dyDescent="0.25">
      <c r="A255" s="58"/>
      <c r="B255" s="58"/>
      <c r="C255" s="58"/>
      <c r="D255" s="58"/>
      <c r="E255" s="58"/>
      <c r="F255" s="58"/>
      <c r="G255" s="58"/>
      <c r="H255" s="58"/>
      <c r="I255" s="58"/>
      <c r="J255" s="58"/>
      <c r="K255" s="60"/>
      <c r="L255" s="58"/>
      <c r="M255" s="58"/>
      <c r="N255" s="58"/>
      <c r="O255" s="58"/>
    </row>
    <row r="256" spans="1:15" x14ac:dyDescent="0.25">
      <c r="A256" s="58"/>
      <c r="B256" s="58"/>
      <c r="C256" s="58"/>
      <c r="D256" s="58"/>
      <c r="E256" s="58"/>
      <c r="F256" s="58"/>
      <c r="G256" s="58"/>
      <c r="H256" s="58"/>
      <c r="I256" s="58"/>
      <c r="J256" s="58"/>
      <c r="K256" s="60"/>
      <c r="L256" s="58"/>
      <c r="M256" s="58"/>
      <c r="N256" s="58"/>
      <c r="O256" s="58"/>
    </row>
    <row r="257" spans="1:15" x14ac:dyDescent="0.25">
      <c r="A257" s="58"/>
      <c r="B257" s="58"/>
      <c r="C257" s="58"/>
      <c r="D257" s="58"/>
      <c r="E257" s="58"/>
      <c r="F257" s="58"/>
      <c r="G257" s="58"/>
      <c r="H257" s="58"/>
      <c r="I257" s="58"/>
      <c r="J257" s="58"/>
      <c r="K257" s="60"/>
      <c r="L257" s="58"/>
      <c r="M257" s="58"/>
      <c r="N257" s="58"/>
      <c r="O257" s="58"/>
    </row>
    <row r="258" spans="1:15" x14ac:dyDescent="0.25">
      <c r="A258" s="58"/>
      <c r="B258" s="58"/>
      <c r="C258" s="58"/>
      <c r="D258" s="58"/>
      <c r="E258" s="58"/>
      <c r="F258" s="58"/>
      <c r="G258" s="58"/>
      <c r="H258" s="58"/>
      <c r="I258" s="58"/>
      <c r="J258" s="58"/>
      <c r="K258" s="60"/>
      <c r="L258" s="58"/>
      <c r="M258" s="58"/>
      <c r="N258" s="58"/>
      <c r="O258" s="58"/>
    </row>
    <row r="259" spans="1:15" x14ac:dyDescent="0.25">
      <c r="A259" s="58"/>
      <c r="B259" s="58"/>
      <c r="C259" s="58"/>
      <c r="D259" s="58"/>
      <c r="E259" s="58"/>
      <c r="F259" s="58"/>
      <c r="G259" s="58"/>
      <c r="H259" s="58"/>
      <c r="I259" s="58"/>
      <c r="J259" s="58"/>
      <c r="K259" s="60"/>
      <c r="L259" s="58"/>
      <c r="M259" s="58"/>
      <c r="N259" s="58"/>
      <c r="O259" s="58"/>
    </row>
    <row r="260" spans="1:15" x14ac:dyDescent="0.25">
      <c r="A260" s="58"/>
      <c r="B260" s="58"/>
      <c r="C260" s="58"/>
      <c r="D260" s="58"/>
      <c r="E260" s="58"/>
      <c r="F260" s="58"/>
      <c r="G260" s="58"/>
      <c r="H260" s="58"/>
      <c r="I260" s="58"/>
      <c r="J260" s="58"/>
      <c r="K260" s="60"/>
      <c r="L260" s="58"/>
      <c r="M260" s="58"/>
      <c r="N260" s="58"/>
      <c r="O260" s="58"/>
    </row>
    <row r="261" spans="1:15" x14ac:dyDescent="0.25">
      <c r="A261" s="58"/>
      <c r="B261" s="58"/>
      <c r="C261" s="58"/>
      <c r="D261" s="58"/>
      <c r="E261" s="58"/>
      <c r="F261" s="58"/>
      <c r="G261" s="58"/>
      <c r="H261" s="58"/>
      <c r="I261" s="58"/>
      <c r="J261" s="58"/>
      <c r="K261" s="60"/>
      <c r="L261" s="58"/>
      <c r="M261" s="58"/>
      <c r="N261" s="58"/>
      <c r="O261" s="58"/>
    </row>
    <row r="262" spans="1:15" x14ac:dyDescent="0.25">
      <c r="A262" s="58"/>
      <c r="B262" s="58"/>
      <c r="C262" s="58"/>
      <c r="D262" s="58"/>
      <c r="E262" s="58"/>
      <c r="F262" s="58"/>
      <c r="G262" s="58"/>
      <c r="H262" s="58"/>
      <c r="I262" s="58"/>
      <c r="J262" s="58"/>
      <c r="K262" s="60"/>
      <c r="L262" s="58"/>
      <c r="M262" s="58"/>
      <c r="N262" s="58"/>
      <c r="O262" s="58"/>
    </row>
    <row r="263" spans="1:15" x14ac:dyDescent="0.25">
      <c r="A263" s="58"/>
      <c r="B263" s="58"/>
      <c r="C263" s="58"/>
      <c r="D263" s="58"/>
      <c r="E263" s="58"/>
      <c r="F263" s="58"/>
      <c r="G263" s="58"/>
      <c r="H263" s="58"/>
      <c r="I263" s="58"/>
      <c r="J263" s="58"/>
      <c r="K263" s="60"/>
      <c r="L263" s="58"/>
      <c r="M263" s="58"/>
      <c r="N263" s="58"/>
      <c r="O263" s="58"/>
    </row>
    <row r="264" spans="1:15" x14ac:dyDescent="0.25">
      <c r="A264" s="58"/>
      <c r="B264" s="58"/>
      <c r="C264" s="58"/>
      <c r="D264" s="58"/>
      <c r="E264" s="58"/>
      <c r="F264" s="58"/>
      <c r="G264" s="58"/>
      <c r="H264" s="58"/>
      <c r="I264" s="58"/>
      <c r="J264" s="58"/>
      <c r="K264" s="60"/>
      <c r="L264" s="58"/>
      <c r="M264" s="58"/>
      <c r="N264" s="58"/>
      <c r="O264" s="58"/>
    </row>
    <row r="265" spans="1:15" x14ac:dyDescent="0.25">
      <c r="A265" s="58"/>
      <c r="B265" s="58"/>
      <c r="C265" s="58"/>
      <c r="D265" s="58"/>
      <c r="E265" s="58"/>
      <c r="F265" s="58"/>
      <c r="G265" s="58"/>
      <c r="H265" s="58"/>
      <c r="I265" s="58"/>
      <c r="J265" s="58"/>
      <c r="K265" s="60"/>
      <c r="L265" s="58"/>
      <c r="M265" s="58"/>
      <c r="N265" s="58"/>
      <c r="O265" s="58"/>
    </row>
    <row r="266" spans="1:15" x14ac:dyDescent="0.25">
      <c r="A266" s="58"/>
      <c r="B266" s="58"/>
      <c r="C266" s="58"/>
      <c r="D266" s="58"/>
      <c r="E266" s="58"/>
      <c r="F266" s="58"/>
      <c r="G266" s="58"/>
      <c r="H266" s="58"/>
      <c r="I266" s="58"/>
      <c r="J266" s="58"/>
      <c r="K266" s="60"/>
      <c r="L266" s="58"/>
      <c r="M266" s="58"/>
      <c r="N266" s="58"/>
      <c r="O266" s="58"/>
    </row>
    <row r="267" spans="1:15" x14ac:dyDescent="0.25">
      <c r="A267" s="58"/>
      <c r="B267" s="58"/>
      <c r="C267" s="58"/>
      <c r="D267" s="58"/>
      <c r="E267" s="58"/>
      <c r="F267" s="58"/>
      <c r="G267" s="58"/>
      <c r="H267" s="58"/>
      <c r="I267" s="58"/>
      <c r="J267" s="58"/>
      <c r="K267" s="60"/>
      <c r="L267" s="58"/>
      <c r="M267" s="58"/>
      <c r="N267" s="58"/>
      <c r="O267" s="58"/>
    </row>
    <row r="268" spans="1:15" x14ac:dyDescent="0.25">
      <c r="A268" s="58"/>
      <c r="B268" s="58"/>
      <c r="C268" s="58"/>
      <c r="D268" s="58"/>
      <c r="E268" s="58"/>
      <c r="F268" s="58"/>
      <c r="G268" s="58"/>
      <c r="H268" s="58"/>
      <c r="I268" s="58"/>
      <c r="J268" s="58"/>
      <c r="K268" s="60"/>
      <c r="L268" s="58"/>
      <c r="M268" s="58"/>
      <c r="N268" s="58"/>
      <c r="O268" s="58"/>
    </row>
    <row r="269" spans="1:15" x14ac:dyDescent="0.25">
      <c r="A269" s="58"/>
      <c r="B269" s="58"/>
      <c r="C269" s="58"/>
      <c r="D269" s="58"/>
      <c r="E269" s="58"/>
      <c r="F269" s="58"/>
      <c r="G269" s="58"/>
      <c r="H269" s="58"/>
      <c r="I269" s="58"/>
      <c r="J269" s="58"/>
      <c r="K269" s="60"/>
      <c r="L269" s="58"/>
      <c r="M269" s="58"/>
      <c r="N269" s="58"/>
      <c r="O269" s="58"/>
    </row>
    <row r="270" spans="1:15" x14ac:dyDescent="0.25">
      <c r="A270" s="58"/>
      <c r="B270" s="58"/>
      <c r="C270" s="58"/>
      <c r="D270" s="58"/>
      <c r="E270" s="58"/>
      <c r="F270" s="58"/>
      <c r="G270" s="58"/>
      <c r="H270" s="58"/>
      <c r="I270" s="58"/>
      <c r="J270" s="58"/>
      <c r="K270" s="60"/>
      <c r="L270" s="58"/>
      <c r="M270" s="58"/>
      <c r="N270" s="58"/>
      <c r="O270" s="58"/>
    </row>
    <row r="271" spans="1:15" x14ac:dyDescent="0.25">
      <c r="A271" s="58"/>
      <c r="B271" s="58"/>
      <c r="C271" s="58"/>
      <c r="D271" s="58"/>
      <c r="E271" s="58"/>
      <c r="F271" s="58"/>
      <c r="G271" s="58"/>
      <c r="H271" s="58"/>
      <c r="I271" s="58"/>
      <c r="J271" s="58"/>
      <c r="K271" s="60"/>
      <c r="L271" s="58"/>
      <c r="M271" s="58"/>
      <c r="N271" s="58"/>
      <c r="O271" s="58"/>
    </row>
    <row r="272" spans="1:15" x14ac:dyDescent="0.25">
      <c r="A272" s="58"/>
      <c r="B272" s="58"/>
      <c r="C272" s="58"/>
      <c r="D272" s="58"/>
      <c r="E272" s="58"/>
      <c r="F272" s="58"/>
      <c r="G272" s="58"/>
      <c r="H272" s="58"/>
      <c r="I272" s="58"/>
      <c r="J272" s="58"/>
      <c r="K272" s="60"/>
      <c r="L272" s="58"/>
      <c r="M272" s="58"/>
      <c r="N272" s="58"/>
      <c r="O272" s="58"/>
    </row>
    <row r="273" spans="1:15" x14ac:dyDescent="0.25">
      <c r="A273" s="58"/>
      <c r="B273" s="58"/>
      <c r="C273" s="58"/>
      <c r="D273" s="58"/>
      <c r="E273" s="58"/>
      <c r="F273" s="58"/>
      <c r="G273" s="58"/>
      <c r="H273" s="58"/>
      <c r="I273" s="58"/>
      <c r="J273" s="58"/>
      <c r="K273" s="60"/>
      <c r="L273" s="58"/>
      <c r="M273" s="58"/>
      <c r="N273" s="58"/>
      <c r="O273" s="58"/>
    </row>
    <row r="274" spans="1:15" x14ac:dyDescent="0.25">
      <c r="A274" s="58"/>
      <c r="B274" s="58"/>
      <c r="C274" s="58"/>
      <c r="D274" s="58"/>
      <c r="E274" s="58"/>
      <c r="F274" s="58"/>
      <c r="G274" s="58"/>
      <c r="H274" s="58"/>
      <c r="I274" s="58"/>
      <c r="J274" s="58"/>
      <c r="K274" s="60"/>
      <c r="L274" s="58"/>
      <c r="M274" s="58"/>
      <c r="N274" s="58"/>
      <c r="O274" s="58"/>
    </row>
    <row r="275" spans="1:15" x14ac:dyDescent="0.25">
      <c r="A275" s="58"/>
      <c r="B275" s="58"/>
      <c r="C275" s="58"/>
      <c r="D275" s="58"/>
      <c r="E275" s="58"/>
      <c r="F275" s="58"/>
      <c r="G275" s="58"/>
      <c r="H275" s="58"/>
      <c r="I275" s="58"/>
      <c r="J275" s="58"/>
      <c r="K275" s="60"/>
      <c r="L275" s="58"/>
      <c r="M275" s="58"/>
      <c r="N275" s="58"/>
      <c r="O275" s="58"/>
    </row>
    <row r="276" spans="1:15" x14ac:dyDescent="0.25">
      <c r="A276" s="58"/>
      <c r="B276" s="58"/>
      <c r="C276" s="58"/>
      <c r="D276" s="58"/>
      <c r="E276" s="58"/>
      <c r="F276" s="58"/>
      <c r="G276" s="58"/>
      <c r="H276" s="58"/>
      <c r="I276" s="58"/>
      <c r="J276" s="58"/>
      <c r="K276" s="60"/>
      <c r="L276" s="58"/>
      <c r="M276" s="58"/>
      <c r="N276" s="58"/>
      <c r="O276" s="58"/>
    </row>
    <row r="277" spans="1:15" x14ac:dyDescent="0.25">
      <c r="A277" s="58"/>
      <c r="B277" s="58"/>
      <c r="C277" s="58"/>
      <c r="D277" s="58"/>
      <c r="E277" s="58"/>
      <c r="F277" s="58"/>
      <c r="G277" s="58"/>
      <c r="H277" s="58"/>
      <c r="I277" s="58"/>
      <c r="J277" s="58"/>
      <c r="K277" s="60"/>
      <c r="L277" s="58"/>
      <c r="M277" s="58"/>
      <c r="N277" s="58"/>
      <c r="O277" s="58"/>
    </row>
    <row r="278" spans="1:15" x14ac:dyDescent="0.25">
      <c r="A278" s="58"/>
      <c r="B278" s="58"/>
      <c r="C278" s="58"/>
      <c r="D278" s="58"/>
      <c r="E278" s="58"/>
      <c r="F278" s="58"/>
      <c r="G278" s="58"/>
      <c r="H278" s="58"/>
      <c r="I278" s="58"/>
      <c r="J278" s="58"/>
      <c r="K278" s="60"/>
      <c r="L278" s="58"/>
      <c r="M278" s="58"/>
      <c r="N278" s="58"/>
      <c r="O278" s="58"/>
    </row>
    <row r="279" spans="1:15" x14ac:dyDescent="0.25">
      <c r="A279" s="58"/>
      <c r="B279" s="58"/>
      <c r="C279" s="58"/>
      <c r="D279" s="58"/>
      <c r="E279" s="58"/>
      <c r="F279" s="58"/>
      <c r="G279" s="58"/>
      <c r="H279" s="58"/>
      <c r="I279" s="58"/>
      <c r="J279" s="58"/>
      <c r="K279" s="60"/>
      <c r="L279" s="58"/>
      <c r="M279" s="58"/>
      <c r="N279" s="58"/>
      <c r="O279" s="58"/>
    </row>
    <row r="280" spans="1:15" x14ac:dyDescent="0.25">
      <c r="A280" s="58"/>
      <c r="B280" s="58"/>
      <c r="C280" s="58"/>
      <c r="D280" s="58"/>
      <c r="E280" s="58"/>
      <c r="F280" s="58"/>
      <c r="G280" s="58"/>
      <c r="H280" s="58"/>
      <c r="I280" s="58"/>
      <c r="J280" s="58"/>
      <c r="K280" s="60"/>
      <c r="L280" s="58"/>
      <c r="M280" s="58"/>
      <c r="N280" s="58"/>
      <c r="O280" s="58"/>
    </row>
    <row r="281" spans="1:15" x14ac:dyDescent="0.25">
      <c r="A281" s="58"/>
      <c r="B281" s="58"/>
      <c r="C281" s="58"/>
      <c r="D281" s="58"/>
      <c r="E281" s="58"/>
      <c r="F281" s="58"/>
      <c r="G281" s="58"/>
      <c r="H281" s="58"/>
      <c r="I281" s="58"/>
      <c r="J281" s="58"/>
      <c r="K281" s="60"/>
      <c r="L281" s="58"/>
      <c r="M281" s="58"/>
      <c r="N281" s="58"/>
      <c r="O281" s="58"/>
    </row>
    <row r="282" spans="1:15" x14ac:dyDescent="0.25">
      <c r="A282" s="58"/>
      <c r="B282" s="58"/>
      <c r="C282" s="58"/>
      <c r="D282" s="58"/>
      <c r="E282" s="58"/>
      <c r="F282" s="58"/>
      <c r="G282" s="58"/>
      <c r="H282" s="58"/>
      <c r="I282" s="58"/>
      <c r="J282" s="58"/>
      <c r="K282" s="60"/>
      <c r="L282" s="58"/>
      <c r="M282" s="58"/>
      <c r="N282" s="58"/>
      <c r="O282" s="58"/>
    </row>
    <row r="283" spans="1:15" x14ac:dyDescent="0.25">
      <c r="A283" s="58"/>
      <c r="B283" s="58"/>
      <c r="C283" s="58"/>
      <c r="D283" s="58"/>
      <c r="E283" s="58"/>
      <c r="F283" s="58"/>
      <c r="G283" s="58"/>
      <c r="H283" s="58"/>
      <c r="I283" s="58"/>
      <c r="J283" s="58"/>
      <c r="K283" s="60"/>
      <c r="L283" s="58"/>
      <c r="M283" s="58"/>
      <c r="N283" s="58"/>
      <c r="O283" s="58"/>
    </row>
    <row r="284" spans="1:15" x14ac:dyDescent="0.25">
      <c r="A284" s="58"/>
      <c r="B284" s="58"/>
      <c r="C284" s="58"/>
      <c r="D284" s="58"/>
      <c r="E284" s="58"/>
      <c r="F284" s="58"/>
      <c r="G284" s="58"/>
      <c r="H284" s="58"/>
      <c r="I284" s="58"/>
      <c r="J284" s="58"/>
      <c r="K284" s="60"/>
      <c r="L284" s="58"/>
      <c r="M284" s="58"/>
      <c r="N284" s="58"/>
      <c r="O284" s="58"/>
    </row>
    <row r="285" spans="1:15" x14ac:dyDescent="0.25">
      <c r="A285" s="58"/>
      <c r="B285" s="58"/>
      <c r="C285" s="58"/>
      <c r="D285" s="58"/>
      <c r="E285" s="58"/>
      <c r="F285" s="58"/>
      <c r="G285" s="58"/>
      <c r="H285" s="58"/>
      <c r="I285" s="58"/>
      <c r="J285" s="58"/>
      <c r="K285" s="60"/>
      <c r="L285" s="58"/>
      <c r="M285" s="58"/>
      <c r="N285" s="58"/>
      <c r="O285" s="58"/>
    </row>
    <row r="286" spans="1:15" x14ac:dyDescent="0.25">
      <c r="A286" s="58"/>
      <c r="B286" s="58"/>
      <c r="C286" s="58"/>
      <c r="D286" s="58"/>
      <c r="E286" s="58"/>
      <c r="F286" s="58"/>
      <c r="G286" s="58"/>
      <c r="H286" s="58"/>
      <c r="I286" s="58"/>
      <c r="J286" s="58"/>
      <c r="K286" s="60"/>
      <c r="L286" s="58"/>
      <c r="M286" s="58"/>
      <c r="N286" s="58"/>
      <c r="O286" s="58"/>
    </row>
    <row r="287" spans="1:15" x14ac:dyDescent="0.25">
      <c r="A287" s="58"/>
      <c r="B287" s="58"/>
      <c r="C287" s="58"/>
      <c r="D287" s="58"/>
      <c r="E287" s="58"/>
      <c r="F287" s="58"/>
      <c r="G287" s="58"/>
      <c r="H287" s="58"/>
      <c r="I287" s="58"/>
      <c r="J287" s="58"/>
      <c r="K287" s="60"/>
      <c r="L287" s="58"/>
      <c r="M287" s="58"/>
      <c r="N287" s="58"/>
      <c r="O287" s="58"/>
    </row>
    <row r="288" spans="1:15" x14ac:dyDescent="0.25">
      <c r="A288" s="58"/>
      <c r="B288" s="58"/>
      <c r="C288" s="58"/>
      <c r="D288" s="58"/>
      <c r="E288" s="58"/>
      <c r="F288" s="58"/>
      <c r="G288" s="58"/>
      <c r="H288" s="58"/>
      <c r="I288" s="58"/>
      <c r="J288" s="58"/>
      <c r="K288" s="60"/>
      <c r="L288" s="58"/>
      <c r="M288" s="58"/>
      <c r="N288" s="58"/>
      <c r="O288" s="58"/>
    </row>
    <row r="289" spans="1:15" x14ac:dyDescent="0.25">
      <c r="A289" s="58"/>
      <c r="B289" s="58"/>
      <c r="C289" s="58"/>
      <c r="D289" s="58"/>
      <c r="E289" s="58"/>
      <c r="F289" s="58"/>
      <c r="G289" s="58"/>
      <c r="H289" s="58"/>
      <c r="I289" s="58"/>
      <c r="J289" s="58"/>
      <c r="K289" s="60"/>
      <c r="L289" s="58"/>
      <c r="M289" s="58"/>
      <c r="N289" s="58"/>
      <c r="O289" s="58"/>
    </row>
    <row r="290" spans="1:15" x14ac:dyDescent="0.25">
      <c r="A290" s="58"/>
      <c r="B290" s="58"/>
      <c r="C290" s="58"/>
      <c r="D290" s="58"/>
      <c r="E290" s="58"/>
      <c r="F290" s="58"/>
      <c r="G290" s="58"/>
      <c r="H290" s="58"/>
      <c r="I290" s="58"/>
      <c r="J290" s="58"/>
      <c r="K290" s="60"/>
      <c r="L290" s="58"/>
      <c r="M290" s="58"/>
      <c r="N290" s="58"/>
      <c r="O290" s="58"/>
    </row>
    <row r="291" spans="1:15" x14ac:dyDescent="0.25">
      <c r="A291" s="58"/>
      <c r="B291" s="58"/>
      <c r="C291" s="58"/>
      <c r="D291" s="58"/>
      <c r="E291" s="58"/>
      <c r="F291" s="58"/>
      <c r="G291" s="58"/>
      <c r="H291" s="58"/>
      <c r="I291" s="58"/>
      <c r="J291" s="58"/>
      <c r="K291" s="60"/>
      <c r="L291" s="58"/>
      <c r="M291" s="58"/>
      <c r="N291" s="58"/>
      <c r="O291" s="58"/>
    </row>
    <row r="292" spans="1:15" x14ac:dyDescent="0.25">
      <c r="A292" s="58"/>
      <c r="B292" s="58"/>
      <c r="C292" s="58"/>
      <c r="D292" s="58"/>
      <c r="E292" s="58"/>
      <c r="F292" s="58"/>
      <c r="G292" s="58"/>
      <c r="H292" s="58"/>
      <c r="I292" s="58"/>
      <c r="J292" s="58"/>
      <c r="K292" s="60"/>
      <c r="L292" s="58"/>
      <c r="M292" s="58"/>
      <c r="N292" s="58"/>
      <c r="O292" s="58"/>
    </row>
    <row r="293" spans="1:15" x14ac:dyDescent="0.25">
      <c r="A293" s="58"/>
      <c r="B293" s="58"/>
      <c r="C293" s="58"/>
      <c r="D293" s="58"/>
      <c r="E293" s="58"/>
      <c r="F293" s="58"/>
      <c r="G293" s="58"/>
      <c r="H293" s="58"/>
      <c r="I293" s="58"/>
      <c r="J293" s="58"/>
      <c r="K293" s="60"/>
      <c r="L293" s="58"/>
      <c r="M293" s="58"/>
      <c r="N293" s="58"/>
      <c r="O293" s="58"/>
    </row>
    <row r="294" spans="1:15" x14ac:dyDescent="0.25">
      <c r="A294" s="58"/>
      <c r="B294" s="58"/>
      <c r="C294" s="58"/>
      <c r="D294" s="58"/>
      <c r="E294" s="58"/>
      <c r="F294" s="58"/>
      <c r="G294" s="58"/>
      <c r="H294" s="58"/>
      <c r="I294" s="58"/>
      <c r="J294" s="58"/>
      <c r="K294" s="60"/>
      <c r="L294" s="58"/>
      <c r="M294" s="58"/>
      <c r="N294" s="58"/>
      <c r="O294" s="58"/>
    </row>
    <row r="295" spans="1:15" x14ac:dyDescent="0.25">
      <c r="A295" s="58"/>
      <c r="B295" s="58"/>
      <c r="C295" s="58"/>
      <c r="D295" s="58"/>
      <c r="E295" s="58"/>
      <c r="F295" s="58"/>
      <c r="G295" s="58"/>
      <c r="H295" s="58"/>
      <c r="I295" s="58"/>
      <c r="J295" s="58"/>
      <c r="K295" s="60"/>
      <c r="L295" s="58"/>
      <c r="M295" s="58"/>
      <c r="N295" s="58"/>
      <c r="O295" s="58"/>
    </row>
    <row r="296" spans="1:15" x14ac:dyDescent="0.25">
      <c r="A296" s="58"/>
      <c r="B296" s="58"/>
      <c r="C296" s="58"/>
      <c r="D296" s="58"/>
      <c r="E296" s="58"/>
      <c r="F296" s="58"/>
      <c r="G296" s="58"/>
      <c r="H296" s="58"/>
      <c r="I296" s="58"/>
      <c r="J296" s="58"/>
      <c r="K296" s="60"/>
      <c r="L296" s="58"/>
      <c r="M296" s="58"/>
      <c r="N296" s="58"/>
      <c r="O296" s="58"/>
    </row>
    <row r="297" spans="1:15" x14ac:dyDescent="0.25">
      <c r="A297" s="58"/>
      <c r="B297" s="58"/>
      <c r="C297" s="58"/>
      <c r="D297" s="58"/>
      <c r="E297" s="58"/>
      <c r="F297" s="58"/>
      <c r="G297" s="58"/>
      <c r="H297" s="58"/>
      <c r="I297" s="58"/>
      <c r="J297" s="58"/>
      <c r="K297" s="60"/>
      <c r="L297" s="58"/>
      <c r="M297" s="58"/>
      <c r="N297" s="58"/>
      <c r="O297" s="58"/>
    </row>
    <row r="298" spans="1:15" x14ac:dyDescent="0.25">
      <c r="A298" s="58"/>
      <c r="B298" s="58"/>
      <c r="C298" s="58"/>
      <c r="D298" s="58"/>
      <c r="E298" s="58"/>
      <c r="F298" s="58"/>
      <c r="G298" s="58"/>
      <c r="H298" s="58"/>
      <c r="I298" s="58"/>
      <c r="J298" s="58"/>
      <c r="K298" s="60"/>
      <c r="L298" s="58"/>
      <c r="M298" s="58"/>
      <c r="N298" s="58"/>
      <c r="O298" s="58"/>
    </row>
    <row r="299" spans="1:15" x14ac:dyDescent="0.25">
      <c r="A299" s="58"/>
      <c r="B299" s="58"/>
      <c r="C299" s="58"/>
      <c r="D299" s="58"/>
      <c r="E299" s="58"/>
      <c r="F299" s="58"/>
      <c r="G299" s="58"/>
      <c r="H299" s="58"/>
      <c r="I299" s="58"/>
      <c r="J299" s="58"/>
      <c r="K299" s="60"/>
      <c r="L299" s="58"/>
      <c r="M299" s="58"/>
      <c r="N299" s="58"/>
      <c r="O299" s="58"/>
    </row>
    <row r="300" spans="1:15" x14ac:dyDescent="0.25">
      <c r="A300" s="58"/>
      <c r="B300" s="58"/>
      <c r="C300" s="58"/>
      <c r="D300" s="58"/>
      <c r="E300" s="58"/>
      <c r="F300" s="58"/>
      <c r="G300" s="58"/>
      <c r="H300" s="58"/>
      <c r="I300" s="58"/>
      <c r="J300" s="58"/>
      <c r="K300" s="60"/>
      <c r="L300" s="58"/>
      <c r="M300" s="58"/>
      <c r="N300" s="58"/>
      <c r="O300" s="58"/>
    </row>
    <row r="301" spans="1:15" x14ac:dyDescent="0.25">
      <c r="A301" s="58"/>
      <c r="B301" s="58"/>
      <c r="C301" s="58"/>
      <c r="D301" s="58"/>
      <c r="E301" s="58"/>
      <c r="F301" s="58"/>
      <c r="G301" s="58"/>
      <c r="H301" s="58"/>
      <c r="I301" s="58"/>
      <c r="J301" s="58"/>
      <c r="K301" s="60"/>
      <c r="L301" s="58"/>
      <c r="M301" s="58"/>
      <c r="N301" s="58"/>
      <c r="O301" s="58"/>
    </row>
    <row r="302" spans="1:15" x14ac:dyDescent="0.25">
      <c r="A302" s="58"/>
      <c r="B302" s="58"/>
      <c r="C302" s="58"/>
      <c r="D302" s="58"/>
      <c r="E302" s="58"/>
      <c r="F302" s="58"/>
      <c r="G302" s="58"/>
      <c r="H302" s="58"/>
      <c r="I302" s="58"/>
      <c r="J302" s="58"/>
      <c r="K302" s="60"/>
      <c r="L302" s="58"/>
      <c r="M302" s="58"/>
      <c r="N302" s="58"/>
      <c r="O302" s="58"/>
    </row>
    <row r="303" spans="1:15" x14ac:dyDescent="0.25">
      <c r="A303" s="58"/>
      <c r="B303" s="58"/>
      <c r="C303" s="58"/>
      <c r="D303" s="58"/>
      <c r="E303" s="58"/>
      <c r="F303" s="58"/>
      <c r="G303" s="58"/>
      <c r="H303" s="58"/>
      <c r="I303" s="58"/>
      <c r="J303" s="58"/>
      <c r="K303" s="60"/>
      <c r="L303" s="58"/>
      <c r="M303" s="58"/>
      <c r="N303" s="58"/>
      <c r="O303" s="58"/>
    </row>
    <row r="304" spans="1:15" x14ac:dyDescent="0.25">
      <c r="A304" s="58"/>
      <c r="B304" s="58"/>
      <c r="C304" s="58"/>
      <c r="D304" s="58"/>
      <c r="E304" s="58"/>
      <c r="F304" s="58"/>
      <c r="G304" s="58"/>
      <c r="H304" s="58"/>
      <c r="I304" s="58"/>
      <c r="J304" s="58"/>
      <c r="K304" s="60"/>
      <c r="L304" s="58"/>
      <c r="M304" s="58"/>
      <c r="N304" s="58"/>
      <c r="O304" s="58"/>
    </row>
    <row r="305" spans="1:15" x14ac:dyDescent="0.25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60"/>
      <c r="L305" s="58"/>
      <c r="M305" s="58"/>
      <c r="N305" s="58"/>
      <c r="O305" s="58"/>
    </row>
    <row r="306" spans="1:15" x14ac:dyDescent="0.25">
      <c r="A306" s="58"/>
      <c r="B306" s="58"/>
      <c r="C306" s="58"/>
      <c r="D306" s="58"/>
      <c r="E306" s="58"/>
      <c r="F306" s="58"/>
      <c r="G306" s="58"/>
      <c r="H306" s="58"/>
      <c r="I306" s="58"/>
      <c r="J306" s="58"/>
      <c r="K306" s="60"/>
      <c r="L306" s="58"/>
      <c r="M306" s="58"/>
      <c r="N306" s="58"/>
      <c r="O306" s="58"/>
    </row>
    <row r="307" spans="1:15" x14ac:dyDescent="0.25">
      <c r="A307" s="58"/>
      <c r="B307" s="58"/>
      <c r="C307" s="58"/>
      <c r="D307" s="58"/>
      <c r="E307" s="58"/>
      <c r="F307" s="58"/>
      <c r="G307" s="58"/>
      <c r="H307" s="58"/>
      <c r="I307" s="58"/>
      <c r="J307" s="58"/>
      <c r="K307" s="60"/>
      <c r="L307" s="58"/>
      <c r="M307" s="58"/>
      <c r="N307" s="58"/>
      <c r="O307" s="58"/>
    </row>
    <row r="308" spans="1:15" x14ac:dyDescent="0.25">
      <c r="A308" s="58"/>
      <c r="B308" s="58"/>
      <c r="C308" s="58"/>
      <c r="D308" s="58"/>
      <c r="E308" s="58"/>
      <c r="F308" s="58"/>
      <c r="G308" s="58"/>
      <c r="H308" s="58"/>
      <c r="I308" s="58"/>
      <c r="J308" s="58"/>
      <c r="K308" s="60"/>
      <c r="L308" s="58"/>
      <c r="M308" s="58"/>
      <c r="N308" s="58"/>
      <c r="O308" s="58"/>
    </row>
    <row r="309" spans="1:15" x14ac:dyDescent="0.25">
      <c r="A309" s="58"/>
      <c r="B309" s="58"/>
      <c r="C309" s="58"/>
      <c r="D309" s="58"/>
      <c r="E309" s="58"/>
      <c r="F309" s="58"/>
      <c r="G309" s="58"/>
      <c r="H309" s="58"/>
      <c r="I309" s="58"/>
      <c r="J309" s="58"/>
      <c r="K309" s="60"/>
      <c r="L309" s="58"/>
      <c r="M309" s="58"/>
      <c r="N309" s="58"/>
      <c r="O309" s="58"/>
    </row>
    <row r="310" spans="1:15" x14ac:dyDescent="0.25">
      <c r="A310" s="58"/>
      <c r="B310" s="58"/>
      <c r="C310" s="58"/>
      <c r="D310" s="58"/>
      <c r="E310" s="58"/>
      <c r="F310" s="58"/>
      <c r="G310" s="58"/>
      <c r="H310" s="58"/>
      <c r="I310" s="58"/>
      <c r="J310" s="58"/>
      <c r="K310" s="60"/>
      <c r="L310" s="58"/>
      <c r="M310" s="58"/>
      <c r="N310" s="58"/>
      <c r="O310" s="58"/>
    </row>
    <row r="311" spans="1:15" x14ac:dyDescent="0.25">
      <c r="A311" s="58"/>
      <c r="B311" s="58"/>
      <c r="C311" s="58"/>
      <c r="D311" s="58"/>
      <c r="E311" s="58"/>
      <c r="F311" s="58"/>
      <c r="G311" s="58"/>
      <c r="H311" s="58"/>
      <c r="I311" s="58"/>
      <c r="J311" s="58"/>
      <c r="K311" s="60"/>
      <c r="L311" s="58"/>
      <c r="M311" s="58"/>
      <c r="N311" s="58"/>
      <c r="O311" s="58"/>
    </row>
    <row r="312" spans="1:15" x14ac:dyDescent="0.25">
      <c r="A312" s="58"/>
      <c r="B312" s="58"/>
      <c r="C312" s="58"/>
      <c r="D312" s="58"/>
      <c r="E312" s="58"/>
      <c r="F312" s="58"/>
      <c r="G312" s="58"/>
      <c r="H312" s="58"/>
      <c r="I312" s="58"/>
      <c r="J312" s="58"/>
      <c r="K312" s="60"/>
      <c r="L312" s="58"/>
      <c r="M312" s="58"/>
      <c r="N312" s="58"/>
      <c r="O312" s="58"/>
    </row>
    <row r="313" spans="1:15" x14ac:dyDescent="0.25">
      <c r="A313" s="58"/>
      <c r="B313" s="58"/>
      <c r="C313" s="58"/>
      <c r="D313" s="58"/>
      <c r="E313" s="58"/>
      <c r="F313" s="58"/>
      <c r="G313" s="58"/>
      <c r="H313" s="58"/>
      <c r="I313" s="58"/>
      <c r="J313" s="58"/>
      <c r="K313" s="60"/>
      <c r="L313" s="58"/>
      <c r="M313" s="58"/>
      <c r="N313" s="58"/>
      <c r="O313" s="58"/>
    </row>
    <row r="314" spans="1:15" x14ac:dyDescent="0.25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60"/>
      <c r="L314" s="58"/>
      <c r="M314" s="58"/>
      <c r="N314" s="58"/>
      <c r="O314" s="58"/>
    </row>
    <row r="315" spans="1:15" x14ac:dyDescent="0.25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60"/>
      <c r="L315" s="58"/>
      <c r="M315" s="58"/>
      <c r="N315" s="58"/>
      <c r="O315" s="58"/>
    </row>
    <row r="316" spans="1:15" x14ac:dyDescent="0.25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60"/>
      <c r="L316" s="58"/>
      <c r="M316" s="58"/>
      <c r="N316" s="58"/>
      <c r="O316" s="58"/>
    </row>
    <row r="317" spans="1:15" x14ac:dyDescent="0.25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60"/>
      <c r="L317" s="58"/>
      <c r="M317" s="58"/>
      <c r="N317" s="58"/>
      <c r="O317" s="58"/>
    </row>
    <row r="318" spans="1:15" x14ac:dyDescent="0.25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60"/>
      <c r="L318" s="58"/>
      <c r="M318" s="58"/>
      <c r="N318" s="58"/>
      <c r="O318" s="58"/>
    </row>
    <row r="319" spans="1:15" x14ac:dyDescent="0.25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60"/>
      <c r="L319" s="58"/>
      <c r="M319" s="58"/>
      <c r="N319" s="58"/>
      <c r="O319" s="58"/>
    </row>
    <row r="320" spans="1:15" x14ac:dyDescent="0.25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60"/>
      <c r="L320" s="58"/>
      <c r="M320" s="58"/>
      <c r="N320" s="58"/>
      <c r="O320" s="58"/>
    </row>
    <row r="321" spans="1:15" x14ac:dyDescent="0.25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60"/>
      <c r="L321" s="58"/>
      <c r="M321" s="58"/>
      <c r="N321" s="58"/>
      <c r="O321" s="58"/>
    </row>
    <row r="322" spans="1:15" x14ac:dyDescent="0.25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60"/>
      <c r="L322" s="58"/>
      <c r="M322" s="58"/>
      <c r="N322" s="58"/>
      <c r="O322" s="58"/>
    </row>
    <row r="323" spans="1:15" x14ac:dyDescent="0.25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60"/>
      <c r="L323" s="58"/>
      <c r="M323" s="58"/>
      <c r="N323" s="58"/>
      <c r="O323" s="58"/>
    </row>
    <row r="324" spans="1:15" x14ac:dyDescent="0.25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60"/>
      <c r="L324" s="58"/>
      <c r="M324" s="58"/>
      <c r="N324" s="58"/>
      <c r="O324" s="58"/>
    </row>
    <row r="325" spans="1:15" x14ac:dyDescent="0.25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60"/>
      <c r="L325" s="58"/>
      <c r="M325" s="58"/>
      <c r="N325" s="58"/>
      <c r="O325" s="58"/>
    </row>
    <row r="326" spans="1:15" x14ac:dyDescent="0.25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60"/>
      <c r="L326" s="58"/>
      <c r="M326" s="58"/>
      <c r="N326" s="58"/>
      <c r="O326" s="58"/>
    </row>
    <row r="327" spans="1:15" x14ac:dyDescent="0.25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60"/>
      <c r="L327" s="58"/>
      <c r="M327" s="58"/>
      <c r="N327" s="58"/>
      <c r="O327" s="58"/>
    </row>
    <row r="328" spans="1:15" x14ac:dyDescent="0.25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60"/>
      <c r="L328" s="58"/>
      <c r="M328" s="58"/>
      <c r="N328" s="58"/>
      <c r="O328" s="58"/>
    </row>
    <row r="329" spans="1:15" x14ac:dyDescent="0.25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60"/>
      <c r="L329" s="58"/>
      <c r="M329" s="58"/>
      <c r="N329" s="58"/>
      <c r="O329" s="58"/>
    </row>
    <row r="330" spans="1:15" x14ac:dyDescent="0.25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60"/>
      <c r="L330" s="58"/>
      <c r="M330" s="58"/>
      <c r="N330" s="58"/>
      <c r="O330" s="58"/>
    </row>
    <row r="331" spans="1:15" x14ac:dyDescent="0.25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60"/>
      <c r="L331" s="58"/>
      <c r="M331" s="58"/>
      <c r="N331" s="58"/>
      <c r="O331" s="58"/>
    </row>
    <row r="332" spans="1:15" x14ac:dyDescent="0.25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60"/>
      <c r="L332" s="58"/>
      <c r="M332" s="58"/>
      <c r="N332" s="58"/>
      <c r="O332" s="58"/>
    </row>
    <row r="333" spans="1:15" x14ac:dyDescent="0.25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60"/>
      <c r="L333" s="58"/>
      <c r="M333" s="58"/>
      <c r="N333" s="58"/>
      <c r="O333" s="58"/>
    </row>
    <row r="334" spans="1:15" x14ac:dyDescent="0.25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60"/>
      <c r="L334" s="58"/>
      <c r="M334" s="58"/>
      <c r="N334" s="58"/>
      <c r="O334" s="58"/>
    </row>
    <row r="335" spans="1:15" x14ac:dyDescent="0.25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60"/>
      <c r="L335" s="58"/>
      <c r="M335" s="58"/>
      <c r="N335" s="58"/>
      <c r="O335" s="58"/>
    </row>
    <row r="336" spans="1:15" x14ac:dyDescent="0.25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60"/>
      <c r="L336" s="58"/>
      <c r="M336" s="58"/>
      <c r="N336" s="58"/>
      <c r="O336" s="58"/>
    </row>
    <row r="337" spans="1:15" x14ac:dyDescent="0.25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60"/>
      <c r="L337" s="58"/>
      <c r="M337" s="58"/>
      <c r="N337" s="58"/>
      <c r="O337" s="58"/>
    </row>
    <row r="338" spans="1:15" x14ac:dyDescent="0.25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60"/>
      <c r="L338" s="58"/>
      <c r="M338" s="58"/>
      <c r="N338" s="58"/>
      <c r="O338" s="58"/>
    </row>
    <row r="339" spans="1:15" x14ac:dyDescent="0.25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60"/>
      <c r="L339" s="58"/>
      <c r="M339" s="58"/>
      <c r="N339" s="58"/>
      <c r="O339" s="58"/>
    </row>
    <row r="340" spans="1:15" x14ac:dyDescent="0.25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60"/>
      <c r="L340" s="58"/>
      <c r="M340" s="58"/>
      <c r="N340" s="58"/>
      <c r="O340" s="58"/>
    </row>
    <row r="341" spans="1:15" x14ac:dyDescent="0.25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60"/>
      <c r="L341" s="58"/>
      <c r="M341" s="58"/>
      <c r="N341" s="58"/>
      <c r="O341" s="58"/>
    </row>
    <row r="342" spans="1:15" x14ac:dyDescent="0.25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60"/>
      <c r="L342" s="58"/>
      <c r="M342" s="58"/>
      <c r="N342" s="58"/>
      <c r="O342" s="58"/>
    </row>
    <row r="343" spans="1:15" x14ac:dyDescent="0.25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60"/>
      <c r="L343" s="58"/>
      <c r="M343" s="58"/>
      <c r="N343" s="58"/>
      <c r="O343" s="58"/>
    </row>
    <row r="344" spans="1:15" x14ac:dyDescent="0.25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60"/>
      <c r="L344" s="58"/>
      <c r="M344" s="58"/>
      <c r="N344" s="58"/>
      <c r="O344" s="58"/>
    </row>
    <row r="345" spans="1:15" x14ac:dyDescent="0.25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60"/>
      <c r="L345" s="58"/>
      <c r="M345" s="58"/>
      <c r="N345" s="58"/>
      <c r="O345" s="58"/>
    </row>
    <row r="346" spans="1:15" x14ac:dyDescent="0.25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60"/>
      <c r="L346" s="58"/>
      <c r="M346" s="58"/>
      <c r="N346" s="58"/>
      <c r="O346" s="58"/>
    </row>
    <row r="347" spans="1:15" x14ac:dyDescent="0.25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60"/>
      <c r="L347" s="58"/>
      <c r="M347" s="58"/>
      <c r="N347" s="58"/>
      <c r="O347" s="58"/>
    </row>
    <row r="348" spans="1:15" x14ac:dyDescent="0.25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60"/>
      <c r="L348" s="58"/>
      <c r="M348" s="58"/>
      <c r="N348" s="58"/>
      <c r="O348" s="58"/>
    </row>
    <row r="349" spans="1:15" x14ac:dyDescent="0.25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60"/>
      <c r="L349" s="58"/>
      <c r="M349" s="58"/>
      <c r="N349" s="58"/>
      <c r="O349" s="58"/>
    </row>
    <row r="350" spans="1:15" x14ac:dyDescent="0.25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60"/>
      <c r="L350" s="58"/>
      <c r="M350" s="58"/>
      <c r="N350" s="58"/>
      <c r="O350" s="58"/>
    </row>
    <row r="351" spans="1:15" x14ac:dyDescent="0.25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60"/>
      <c r="L351" s="58"/>
      <c r="M351" s="58"/>
      <c r="N351" s="58"/>
      <c r="O351" s="58"/>
    </row>
    <row r="352" spans="1:15" x14ac:dyDescent="0.25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60"/>
      <c r="L352" s="58"/>
      <c r="M352" s="58"/>
      <c r="N352" s="58"/>
      <c r="O352" s="58"/>
    </row>
    <row r="353" spans="1:15" x14ac:dyDescent="0.25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60"/>
      <c r="L353" s="58"/>
      <c r="M353" s="58"/>
      <c r="N353" s="58"/>
      <c r="O353" s="58"/>
    </row>
    <row r="354" spans="1:15" x14ac:dyDescent="0.25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60"/>
      <c r="L354" s="58"/>
      <c r="M354" s="58"/>
      <c r="N354" s="58"/>
      <c r="O354" s="58"/>
    </row>
    <row r="355" spans="1:15" x14ac:dyDescent="0.25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60"/>
      <c r="L355" s="58"/>
      <c r="M355" s="58"/>
      <c r="N355" s="58"/>
      <c r="O355" s="58"/>
    </row>
    <row r="356" spans="1:15" x14ac:dyDescent="0.25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60"/>
      <c r="L356" s="58"/>
      <c r="M356" s="58"/>
      <c r="N356" s="58"/>
      <c r="O356" s="58"/>
    </row>
    <row r="357" spans="1:15" x14ac:dyDescent="0.25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60"/>
      <c r="L357" s="58"/>
      <c r="M357" s="58"/>
      <c r="N357" s="58"/>
      <c r="O357" s="58"/>
    </row>
    <row r="358" spans="1:15" x14ac:dyDescent="0.25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60"/>
      <c r="L358" s="58"/>
      <c r="M358" s="58"/>
      <c r="N358" s="58"/>
      <c r="O358" s="58"/>
    </row>
    <row r="359" spans="1:15" x14ac:dyDescent="0.25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60"/>
      <c r="L359" s="58"/>
      <c r="M359" s="58"/>
      <c r="N359" s="58"/>
      <c r="O359" s="58"/>
    </row>
    <row r="360" spans="1:15" x14ac:dyDescent="0.25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60"/>
      <c r="L360" s="58"/>
      <c r="M360" s="58"/>
      <c r="N360" s="58"/>
      <c r="O360" s="58"/>
    </row>
    <row r="361" spans="1:15" x14ac:dyDescent="0.25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60"/>
      <c r="L361" s="58"/>
      <c r="M361" s="58"/>
      <c r="N361" s="58"/>
      <c r="O361" s="58"/>
    </row>
    <row r="362" spans="1:15" x14ac:dyDescent="0.25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60"/>
      <c r="L362" s="58"/>
      <c r="M362" s="58"/>
      <c r="N362" s="58"/>
      <c r="O362" s="58"/>
    </row>
    <row r="363" spans="1:15" x14ac:dyDescent="0.25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60"/>
      <c r="L363" s="58"/>
      <c r="M363" s="58"/>
      <c r="N363" s="58"/>
      <c r="O363" s="58"/>
    </row>
    <row r="364" spans="1:15" x14ac:dyDescent="0.25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60"/>
      <c r="L364" s="58"/>
      <c r="M364" s="58"/>
      <c r="N364" s="58"/>
      <c r="O364" s="58"/>
    </row>
    <row r="365" spans="1:15" x14ac:dyDescent="0.2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60"/>
      <c r="L365" s="58"/>
      <c r="M365" s="58"/>
      <c r="N365" s="58"/>
      <c r="O365" s="58"/>
    </row>
    <row r="366" spans="1:15" x14ac:dyDescent="0.25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60"/>
      <c r="L366" s="58"/>
      <c r="M366" s="58"/>
      <c r="N366" s="58"/>
      <c r="O366" s="58"/>
    </row>
    <row r="367" spans="1:15" x14ac:dyDescent="0.25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60"/>
      <c r="L367" s="58"/>
      <c r="M367" s="58"/>
      <c r="N367" s="58"/>
      <c r="O367" s="58"/>
    </row>
    <row r="368" spans="1:15" x14ac:dyDescent="0.25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60"/>
      <c r="L368" s="58"/>
      <c r="M368" s="58"/>
      <c r="N368" s="58"/>
      <c r="O368" s="58"/>
    </row>
    <row r="369" spans="1:15" x14ac:dyDescent="0.25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60"/>
      <c r="L369" s="58"/>
      <c r="M369" s="58"/>
      <c r="N369" s="58"/>
      <c r="O369" s="58"/>
    </row>
    <row r="370" spans="1:15" x14ac:dyDescent="0.25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60"/>
      <c r="L370" s="58"/>
      <c r="M370" s="58"/>
      <c r="N370" s="58"/>
      <c r="O370" s="58"/>
    </row>
    <row r="371" spans="1:15" x14ac:dyDescent="0.25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60"/>
      <c r="L371" s="58"/>
      <c r="M371" s="58"/>
      <c r="N371" s="58"/>
      <c r="O371" s="58"/>
    </row>
    <row r="372" spans="1:15" x14ac:dyDescent="0.25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60"/>
      <c r="L372" s="58"/>
      <c r="M372" s="58"/>
      <c r="N372" s="58"/>
      <c r="O372" s="58"/>
    </row>
    <row r="373" spans="1:15" x14ac:dyDescent="0.25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60"/>
      <c r="L373" s="58"/>
      <c r="M373" s="58"/>
      <c r="N373" s="58"/>
      <c r="O373" s="58"/>
    </row>
    <row r="374" spans="1:15" x14ac:dyDescent="0.25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60"/>
      <c r="L374" s="58"/>
      <c r="M374" s="58"/>
      <c r="N374" s="58"/>
      <c r="O374" s="58"/>
    </row>
    <row r="375" spans="1:15" x14ac:dyDescent="0.25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60"/>
      <c r="L375" s="58"/>
      <c r="M375" s="58"/>
      <c r="N375" s="58"/>
      <c r="O375" s="58"/>
    </row>
    <row r="376" spans="1:15" x14ac:dyDescent="0.25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60"/>
      <c r="L376" s="58"/>
      <c r="M376" s="58"/>
      <c r="N376" s="58"/>
      <c r="O376" s="58"/>
    </row>
    <row r="377" spans="1:15" x14ac:dyDescent="0.25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60"/>
      <c r="L377" s="58"/>
      <c r="M377" s="58"/>
      <c r="N377" s="58"/>
      <c r="O377" s="58"/>
    </row>
    <row r="378" spans="1:15" x14ac:dyDescent="0.25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60"/>
      <c r="L378" s="58"/>
      <c r="M378" s="58"/>
      <c r="N378" s="58"/>
      <c r="O378" s="58"/>
    </row>
    <row r="379" spans="1:15" x14ac:dyDescent="0.25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60"/>
      <c r="L379" s="58"/>
      <c r="M379" s="58"/>
      <c r="N379" s="58"/>
      <c r="O379" s="58"/>
    </row>
    <row r="380" spans="1:15" x14ac:dyDescent="0.25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60"/>
      <c r="L380" s="58"/>
      <c r="M380" s="58"/>
      <c r="N380" s="58"/>
      <c r="O380" s="58"/>
    </row>
    <row r="381" spans="1:15" x14ac:dyDescent="0.25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60"/>
      <c r="L381" s="58"/>
      <c r="M381" s="58"/>
      <c r="N381" s="58"/>
      <c r="O381" s="58"/>
    </row>
    <row r="382" spans="1:15" x14ac:dyDescent="0.25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60"/>
      <c r="L382" s="58"/>
      <c r="M382" s="58"/>
      <c r="N382" s="58"/>
      <c r="O382" s="58"/>
    </row>
    <row r="383" spans="1:15" x14ac:dyDescent="0.25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60"/>
      <c r="L383" s="58"/>
      <c r="M383" s="58"/>
      <c r="N383" s="58"/>
      <c r="O383" s="58"/>
    </row>
    <row r="384" spans="1:15" x14ac:dyDescent="0.25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60"/>
      <c r="L384" s="58"/>
      <c r="M384" s="58"/>
      <c r="N384" s="58"/>
      <c r="O384" s="58"/>
    </row>
    <row r="385" spans="1:15" x14ac:dyDescent="0.25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60"/>
      <c r="L385" s="58"/>
      <c r="M385" s="58"/>
      <c r="N385" s="58"/>
      <c r="O385" s="58"/>
    </row>
    <row r="386" spans="1:15" x14ac:dyDescent="0.25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60"/>
      <c r="L386" s="58"/>
      <c r="M386" s="58"/>
      <c r="N386" s="58"/>
      <c r="O386" s="58"/>
    </row>
    <row r="387" spans="1:15" x14ac:dyDescent="0.25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60"/>
      <c r="L387" s="58"/>
      <c r="M387" s="58"/>
      <c r="N387" s="58"/>
      <c r="O387" s="58"/>
    </row>
    <row r="388" spans="1:15" x14ac:dyDescent="0.25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60"/>
      <c r="L388" s="58"/>
      <c r="M388" s="58"/>
      <c r="N388" s="58"/>
      <c r="O388" s="58"/>
    </row>
    <row r="389" spans="1:15" x14ac:dyDescent="0.25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60"/>
      <c r="L389" s="58"/>
      <c r="M389" s="58"/>
      <c r="N389" s="58"/>
      <c r="O389" s="58"/>
    </row>
    <row r="390" spans="1:15" x14ac:dyDescent="0.25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60"/>
      <c r="L390" s="58"/>
      <c r="M390" s="58"/>
      <c r="N390" s="58"/>
      <c r="O390" s="58"/>
    </row>
    <row r="391" spans="1:15" x14ac:dyDescent="0.25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60"/>
      <c r="L391" s="58"/>
      <c r="M391" s="58"/>
      <c r="N391" s="58"/>
      <c r="O391" s="58"/>
    </row>
    <row r="392" spans="1:15" x14ac:dyDescent="0.25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60"/>
      <c r="L392" s="58"/>
      <c r="M392" s="58"/>
      <c r="N392" s="58"/>
      <c r="O392" s="58"/>
    </row>
    <row r="393" spans="1:15" x14ac:dyDescent="0.25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60"/>
      <c r="L393" s="58"/>
      <c r="M393" s="58"/>
      <c r="N393" s="58"/>
      <c r="O393" s="58"/>
    </row>
    <row r="394" spans="1:15" x14ac:dyDescent="0.25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60"/>
      <c r="L394" s="58"/>
      <c r="M394" s="58"/>
      <c r="N394" s="58"/>
      <c r="O394" s="58"/>
    </row>
    <row r="395" spans="1:15" x14ac:dyDescent="0.25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60"/>
      <c r="L395" s="58"/>
      <c r="M395" s="58"/>
      <c r="N395" s="58"/>
      <c r="O395" s="58"/>
    </row>
    <row r="396" spans="1:15" x14ac:dyDescent="0.25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60"/>
      <c r="L396" s="58"/>
      <c r="M396" s="58"/>
      <c r="N396" s="58"/>
      <c r="O396" s="58"/>
    </row>
    <row r="397" spans="1:15" x14ac:dyDescent="0.25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60"/>
      <c r="L397" s="58"/>
      <c r="M397" s="58"/>
      <c r="N397" s="58"/>
      <c r="O397" s="58"/>
    </row>
    <row r="398" spans="1:15" x14ac:dyDescent="0.25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60"/>
      <c r="L398" s="58"/>
      <c r="M398" s="58"/>
      <c r="N398" s="58"/>
      <c r="O398" s="58"/>
    </row>
    <row r="399" spans="1:15" x14ac:dyDescent="0.25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60"/>
      <c r="L399" s="58"/>
      <c r="M399" s="58"/>
      <c r="N399" s="58"/>
      <c r="O399" s="58"/>
    </row>
    <row r="400" spans="1:15" x14ac:dyDescent="0.25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60"/>
      <c r="L400" s="58"/>
      <c r="M400" s="58"/>
      <c r="N400" s="58"/>
      <c r="O400" s="58"/>
    </row>
    <row r="401" spans="1:15" x14ac:dyDescent="0.25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60"/>
      <c r="L401" s="58"/>
      <c r="M401" s="58"/>
      <c r="N401" s="58"/>
      <c r="O401" s="58"/>
    </row>
    <row r="402" spans="1:15" x14ac:dyDescent="0.25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60"/>
      <c r="L402" s="58"/>
      <c r="M402" s="58"/>
      <c r="N402" s="58"/>
      <c r="O402" s="58"/>
    </row>
    <row r="403" spans="1:15" x14ac:dyDescent="0.25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60"/>
      <c r="L403" s="58"/>
      <c r="M403" s="58"/>
      <c r="N403" s="58"/>
      <c r="O403" s="58"/>
    </row>
    <row r="404" spans="1:15" x14ac:dyDescent="0.25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60"/>
      <c r="L404" s="58"/>
      <c r="M404" s="58"/>
      <c r="N404" s="58"/>
      <c r="O404" s="58"/>
    </row>
    <row r="405" spans="1:15" x14ac:dyDescent="0.25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60"/>
      <c r="L405" s="58"/>
      <c r="M405" s="58"/>
      <c r="N405" s="58"/>
      <c r="O405" s="58"/>
    </row>
    <row r="406" spans="1:15" x14ac:dyDescent="0.25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60"/>
      <c r="L406" s="58"/>
      <c r="M406" s="58"/>
      <c r="N406" s="58"/>
      <c r="O406" s="58"/>
    </row>
    <row r="407" spans="1:15" x14ac:dyDescent="0.25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60"/>
      <c r="L407" s="58"/>
      <c r="M407" s="58"/>
      <c r="N407" s="58"/>
      <c r="O407" s="58"/>
    </row>
    <row r="408" spans="1:15" x14ac:dyDescent="0.25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60"/>
      <c r="L408" s="58"/>
      <c r="M408" s="58"/>
      <c r="N408" s="58"/>
      <c r="O408" s="58"/>
    </row>
    <row r="409" spans="1:15" x14ac:dyDescent="0.25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60"/>
      <c r="L409" s="58"/>
      <c r="M409" s="58"/>
      <c r="N409" s="58"/>
      <c r="O409" s="58"/>
    </row>
    <row r="410" spans="1:15" x14ac:dyDescent="0.25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60"/>
      <c r="L410" s="58"/>
      <c r="M410" s="58"/>
      <c r="N410" s="58"/>
      <c r="O410" s="58"/>
    </row>
    <row r="411" spans="1:15" x14ac:dyDescent="0.25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60"/>
      <c r="L411" s="58"/>
      <c r="M411" s="58"/>
      <c r="N411" s="58"/>
      <c r="O411" s="58"/>
    </row>
    <row r="412" spans="1:15" x14ac:dyDescent="0.25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60"/>
      <c r="L412" s="58"/>
      <c r="M412" s="58"/>
      <c r="N412" s="58"/>
      <c r="O412" s="58"/>
    </row>
    <row r="413" spans="1:15" x14ac:dyDescent="0.25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60"/>
      <c r="L413" s="58"/>
      <c r="M413" s="58"/>
      <c r="N413" s="58"/>
      <c r="O413" s="58"/>
    </row>
    <row r="414" spans="1:15" x14ac:dyDescent="0.25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60"/>
      <c r="L414" s="58"/>
      <c r="M414" s="58"/>
      <c r="N414" s="58"/>
      <c r="O414" s="58"/>
    </row>
    <row r="415" spans="1:15" x14ac:dyDescent="0.25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60"/>
      <c r="L415" s="58"/>
      <c r="M415" s="58"/>
      <c r="N415" s="58"/>
      <c r="O415" s="58"/>
    </row>
    <row r="416" spans="1:15" x14ac:dyDescent="0.25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60"/>
      <c r="L416" s="58"/>
      <c r="M416" s="58"/>
      <c r="N416" s="58"/>
      <c r="O416" s="58"/>
    </row>
    <row r="417" spans="1:15" x14ac:dyDescent="0.2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60"/>
      <c r="L417" s="58"/>
      <c r="M417" s="58"/>
      <c r="N417" s="58"/>
      <c r="O417" s="58"/>
    </row>
    <row r="418" spans="1:15" x14ac:dyDescent="0.25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60"/>
      <c r="L418" s="58"/>
      <c r="M418" s="58"/>
      <c r="N418" s="58"/>
      <c r="O418" s="58"/>
    </row>
    <row r="419" spans="1:15" x14ac:dyDescent="0.25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60"/>
      <c r="L419" s="58"/>
      <c r="M419" s="58"/>
      <c r="N419" s="58"/>
      <c r="O419" s="58"/>
    </row>
    <row r="420" spans="1:15" x14ac:dyDescent="0.25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60"/>
      <c r="L420" s="58"/>
      <c r="M420" s="58"/>
      <c r="N420" s="58"/>
      <c r="O420" s="58"/>
    </row>
    <row r="421" spans="1:15" x14ac:dyDescent="0.25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60"/>
      <c r="L421" s="58"/>
      <c r="M421" s="58"/>
      <c r="N421" s="58"/>
      <c r="O421" s="58"/>
    </row>
    <row r="422" spans="1:15" x14ac:dyDescent="0.25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60"/>
      <c r="L422" s="58"/>
      <c r="M422" s="58"/>
      <c r="N422" s="58"/>
      <c r="O422" s="58"/>
    </row>
    <row r="423" spans="1:15" x14ac:dyDescent="0.25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60"/>
      <c r="L423" s="58"/>
      <c r="M423" s="58"/>
      <c r="N423" s="58"/>
      <c r="O423" s="58"/>
    </row>
    <row r="424" spans="1:15" x14ac:dyDescent="0.25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60"/>
      <c r="L424" s="58"/>
      <c r="M424" s="58"/>
      <c r="N424" s="58"/>
      <c r="O424" s="58"/>
    </row>
    <row r="425" spans="1:15" x14ac:dyDescent="0.25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60"/>
      <c r="L425" s="58"/>
      <c r="M425" s="58"/>
      <c r="N425" s="58"/>
      <c r="O425" s="58"/>
    </row>
    <row r="426" spans="1:15" x14ac:dyDescent="0.25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60"/>
      <c r="L426" s="58"/>
      <c r="M426" s="58"/>
      <c r="N426" s="58"/>
      <c r="O426" s="58"/>
    </row>
    <row r="427" spans="1:15" x14ac:dyDescent="0.25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60"/>
      <c r="L427" s="58"/>
      <c r="M427" s="58"/>
      <c r="N427" s="58"/>
      <c r="O427" s="58"/>
    </row>
    <row r="428" spans="1:15" x14ac:dyDescent="0.25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60"/>
      <c r="L428" s="58"/>
      <c r="M428" s="58"/>
      <c r="N428" s="58"/>
      <c r="O428" s="58"/>
    </row>
    <row r="429" spans="1:15" x14ac:dyDescent="0.25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60"/>
      <c r="L429" s="58"/>
      <c r="M429" s="58"/>
      <c r="N429" s="58"/>
      <c r="O429" s="58"/>
    </row>
    <row r="430" spans="1:15" x14ac:dyDescent="0.25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60"/>
      <c r="L430" s="58"/>
      <c r="M430" s="58"/>
      <c r="N430" s="58"/>
      <c r="O430" s="58"/>
    </row>
    <row r="431" spans="1:15" x14ac:dyDescent="0.25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60"/>
      <c r="L431" s="58"/>
      <c r="M431" s="58"/>
      <c r="N431" s="58"/>
      <c r="O431" s="58"/>
    </row>
    <row r="432" spans="1:15" x14ac:dyDescent="0.25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60"/>
      <c r="L432" s="58"/>
      <c r="M432" s="58"/>
      <c r="N432" s="58"/>
      <c r="O432" s="58"/>
    </row>
    <row r="433" spans="1:15" x14ac:dyDescent="0.25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60"/>
      <c r="L433" s="58"/>
      <c r="M433" s="58"/>
      <c r="N433" s="58"/>
      <c r="O433" s="58"/>
    </row>
    <row r="434" spans="1:15" x14ac:dyDescent="0.25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60"/>
      <c r="L434" s="58"/>
      <c r="M434" s="58"/>
      <c r="N434" s="58"/>
      <c r="O434" s="58"/>
    </row>
    <row r="435" spans="1:15" x14ac:dyDescent="0.25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60"/>
      <c r="L435" s="58"/>
      <c r="M435" s="58"/>
      <c r="N435" s="58"/>
      <c r="O435" s="58"/>
    </row>
    <row r="436" spans="1:15" x14ac:dyDescent="0.25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60"/>
      <c r="L436" s="58"/>
      <c r="M436" s="58"/>
      <c r="N436" s="58"/>
      <c r="O436" s="58"/>
    </row>
    <row r="437" spans="1:15" x14ac:dyDescent="0.25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60"/>
      <c r="L437" s="58"/>
      <c r="M437" s="58"/>
      <c r="N437" s="58"/>
      <c r="O437" s="58"/>
    </row>
    <row r="438" spans="1:15" x14ac:dyDescent="0.25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60"/>
      <c r="L438" s="58"/>
      <c r="M438" s="58"/>
      <c r="N438" s="58"/>
      <c r="O438" s="58"/>
    </row>
    <row r="439" spans="1:15" x14ac:dyDescent="0.25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60"/>
      <c r="L439" s="58"/>
      <c r="M439" s="58"/>
      <c r="N439" s="58"/>
      <c r="O439" s="58"/>
    </row>
    <row r="440" spans="1:15" x14ac:dyDescent="0.25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60"/>
      <c r="L440" s="58"/>
      <c r="M440" s="58"/>
      <c r="N440" s="58"/>
      <c r="O440" s="58"/>
    </row>
    <row r="441" spans="1:15" x14ac:dyDescent="0.25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60"/>
      <c r="L441" s="58"/>
      <c r="M441" s="58"/>
      <c r="N441" s="58"/>
      <c r="O441" s="58"/>
    </row>
    <row r="442" spans="1:15" x14ac:dyDescent="0.25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60"/>
      <c r="L442" s="58"/>
      <c r="M442" s="58"/>
      <c r="N442" s="58"/>
      <c r="O442" s="58"/>
    </row>
    <row r="443" spans="1:15" x14ac:dyDescent="0.25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60"/>
      <c r="L443" s="58"/>
      <c r="M443" s="58"/>
      <c r="N443" s="58"/>
      <c r="O443" s="58"/>
    </row>
    <row r="444" spans="1:15" x14ac:dyDescent="0.25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60"/>
      <c r="L444" s="58"/>
      <c r="M444" s="58"/>
      <c r="N444" s="58"/>
      <c r="O444" s="58"/>
    </row>
    <row r="445" spans="1:15" x14ac:dyDescent="0.25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60"/>
      <c r="L445" s="58"/>
      <c r="M445" s="58"/>
      <c r="N445" s="58"/>
      <c r="O445" s="58"/>
    </row>
    <row r="446" spans="1:15" x14ac:dyDescent="0.25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60"/>
      <c r="L446" s="58"/>
      <c r="M446" s="58"/>
      <c r="N446" s="58"/>
      <c r="O446" s="58"/>
    </row>
    <row r="447" spans="1:15" x14ac:dyDescent="0.25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60"/>
      <c r="L447" s="58"/>
      <c r="M447" s="58"/>
      <c r="N447" s="58"/>
      <c r="O447" s="58"/>
    </row>
    <row r="448" spans="1:15" x14ac:dyDescent="0.25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60"/>
      <c r="L448" s="58"/>
      <c r="M448" s="58"/>
      <c r="N448" s="58"/>
      <c r="O448" s="58"/>
    </row>
    <row r="449" spans="1:15" x14ac:dyDescent="0.25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60"/>
      <c r="L449" s="58"/>
      <c r="M449" s="58"/>
      <c r="N449" s="58"/>
      <c r="O449" s="58"/>
    </row>
    <row r="450" spans="1:15" x14ac:dyDescent="0.25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60"/>
      <c r="L450" s="58"/>
      <c r="M450" s="58"/>
      <c r="N450" s="58"/>
      <c r="O450" s="58"/>
    </row>
    <row r="451" spans="1:15" x14ac:dyDescent="0.25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60"/>
      <c r="L451" s="58"/>
      <c r="M451" s="58"/>
      <c r="N451" s="58"/>
      <c r="O451" s="58"/>
    </row>
    <row r="452" spans="1:15" x14ac:dyDescent="0.25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60"/>
      <c r="L452" s="58"/>
      <c r="M452" s="58"/>
      <c r="N452" s="58"/>
      <c r="O452" s="58"/>
    </row>
    <row r="453" spans="1:15" x14ac:dyDescent="0.25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60"/>
      <c r="L453" s="58"/>
      <c r="M453" s="58"/>
      <c r="N453" s="58"/>
      <c r="O453" s="58"/>
    </row>
    <row r="454" spans="1:15" x14ac:dyDescent="0.25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60"/>
      <c r="L454" s="58"/>
      <c r="M454" s="58"/>
      <c r="N454" s="58"/>
      <c r="O454" s="58"/>
    </row>
    <row r="455" spans="1:15" x14ac:dyDescent="0.25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60"/>
      <c r="L455" s="58"/>
      <c r="M455" s="58"/>
      <c r="N455" s="58"/>
      <c r="O455" s="58"/>
    </row>
    <row r="456" spans="1:15" x14ac:dyDescent="0.25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60"/>
      <c r="L456" s="58"/>
      <c r="M456" s="58"/>
      <c r="N456" s="58"/>
      <c r="O456" s="58"/>
    </row>
    <row r="457" spans="1:15" x14ac:dyDescent="0.25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60"/>
      <c r="L457" s="58"/>
      <c r="M457" s="58"/>
      <c r="N457" s="58"/>
      <c r="O457" s="58"/>
    </row>
    <row r="458" spans="1:15" x14ac:dyDescent="0.25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60"/>
      <c r="L458" s="58"/>
      <c r="M458" s="58"/>
      <c r="N458" s="58"/>
      <c r="O458" s="58"/>
    </row>
    <row r="459" spans="1:15" x14ac:dyDescent="0.25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60"/>
      <c r="L459" s="58"/>
      <c r="M459" s="58"/>
      <c r="N459" s="58"/>
      <c r="O459" s="58"/>
    </row>
    <row r="460" spans="1:15" x14ac:dyDescent="0.25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60"/>
      <c r="L460" s="58"/>
      <c r="M460" s="58"/>
      <c r="N460" s="58"/>
      <c r="O460" s="58"/>
    </row>
    <row r="461" spans="1:15" x14ac:dyDescent="0.25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60"/>
      <c r="L461" s="58"/>
      <c r="M461" s="58"/>
      <c r="N461" s="58"/>
      <c r="O461" s="58"/>
    </row>
    <row r="462" spans="1:15" x14ac:dyDescent="0.25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60"/>
      <c r="L462" s="58"/>
      <c r="M462" s="58"/>
      <c r="N462" s="58"/>
      <c r="O462" s="58"/>
    </row>
    <row r="463" spans="1:15" x14ac:dyDescent="0.25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60"/>
      <c r="L463" s="58"/>
      <c r="M463" s="58"/>
      <c r="N463" s="58"/>
      <c r="O463" s="58"/>
    </row>
    <row r="464" spans="1:15" x14ac:dyDescent="0.25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60"/>
      <c r="L464" s="58"/>
      <c r="M464" s="58"/>
      <c r="N464" s="58"/>
      <c r="O464" s="58"/>
    </row>
    <row r="465" spans="1:15" x14ac:dyDescent="0.25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60"/>
      <c r="L465" s="58"/>
      <c r="M465" s="58"/>
      <c r="N465" s="58"/>
      <c r="O465" s="58"/>
    </row>
    <row r="466" spans="1:15" x14ac:dyDescent="0.25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60"/>
      <c r="L466" s="58"/>
      <c r="M466" s="58"/>
      <c r="N466" s="58"/>
      <c r="O466" s="58"/>
    </row>
    <row r="467" spans="1:15" x14ac:dyDescent="0.25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60"/>
      <c r="L467" s="58"/>
      <c r="M467" s="58"/>
      <c r="N467" s="58"/>
      <c r="O467" s="58"/>
    </row>
    <row r="468" spans="1:15" x14ac:dyDescent="0.25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60"/>
      <c r="L468" s="58"/>
      <c r="M468" s="58"/>
      <c r="N468" s="58"/>
      <c r="O468" s="58"/>
    </row>
    <row r="469" spans="1:15" x14ac:dyDescent="0.25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60"/>
      <c r="L469" s="58"/>
      <c r="M469" s="58"/>
      <c r="N469" s="58"/>
      <c r="O469" s="58"/>
    </row>
    <row r="470" spans="1:15" x14ac:dyDescent="0.25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60"/>
      <c r="L470" s="58"/>
      <c r="M470" s="58"/>
      <c r="N470" s="58"/>
      <c r="O470" s="58"/>
    </row>
    <row r="471" spans="1:15" x14ac:dyDescent="0.25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60"/>
      <c r="L471" s="58"/>
      <c r="M471" s="58"/>
      <c r="N471" s="58"/>
      <c r="O471" s="58"/>
    </row>
    <row r="472" spans="1:15" x14ac:dyDescent="0.25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60"/>
      <c r="L472" s="58"/>
      <c r="M472" s="58"/>
      <c r="N472" s="58"/>
      <c r="O472" s="58"/>
    </row>
    <row r="473" spans="1:15" x14ac:dyDescent="0.25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60"/>
      <c r="L473" s="58"/>
      <c r="M473" s="58"/>
      <c r="N473" s="58"/>
      <c r="O473" s="58"/>
    </row>
    <row r="474" spans="1:15" x14ac:dyDescent="0.25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60"/>
      <c r="L474" s="58"/>
      <c r="M474" s="58"/>
      <c r="N474" s="58"/>
      <c r="O474" s="58"/>
    </row>
    <row r="475" spans="1:15" x14ac:dyDescent="0.25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60"/>
      <c r="L475" s="58"/>
      <c r="M475" s="58"/>
      <c r="N475" s="58"/>
      <c r="O475" s="58"/>
    </row>
  </sheetData>
  <phoneticPr fontId="37" type="noConversion"/>
  <conditionalFormatting sqref="K5">
    <cfRule type="cellIs" dxfId="4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25"/>
  <sheetViews>
    <sheetView tabSelected="1" showWhiteSpace="0" view="pageLayout" zoomScaleNormal="100" workbookViewId="0">
      <selection activeCell="K7" sqref="K7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30.6640625" hidden="1" customWidth="1"/>
    <col min="8" max="8" width="13.33203125" customWidth="1"/>
    <col min="9" max="9" width="13.33203125" hidden="1" customWidth="1"/>
    <col min="10" max="10" width="11.5" customWidth="1"/>
    <col min="11" max="11" width="28.5" customWidth="1"/>
    <col min="12" max="12" width="2.5" customWidth="1"/>
  </cols>
  <sheetData>
    <row r="1" spans="1:12" ht="36" customHeight="1" x14ac:dyDescent="0.2">
      <c r="A1" s="1"/>
      <c r="B1" s="1"/>
      <c r="C1" s="1"/>
      <c r="D1" s="1"/>
      <c r="E1" s="108" t="s">
        <v>0</v>
      </c>
      <c r="F1" s="108"/>
      <c r="G1" s="108"/>
      <c r="H1" s="108"/>
      <c r="I1" s="95"/>
      <c r="J1" s="1"/>
      <c r="K1" s="1"/>
      <c r="L1" s="1"/>
    </row>
    <row r="2" spans="1:12" ht="22.5" customHeight="1" x14ac:dyDescent="0.2">
      <c r="B2" s="1"/>
      <c r="C2" s="1"/>
      <c r="D2" s="1"/>
      <c r="E2" s="109" t="s">
        <v>1</v>
      </c>
      <c r="F2" s="109"/>
      <c r="G2" s="109"/>
      <c r="H2" s="109"/>
      <c r="I2" s="96"/>
      <c r="J2" s="1"/>
      <c r="K2" s="2"/>
      <c r="L2" s="1"/>
    </row>
    <row r="3" spans="1:12" ht="27" customHeight="1" x14ac:dyDescent="0.2">
      <c r="B3" s="2"/>
      <c r="C3" s="2"/>
      <c r="D3" s="2"/>
      <c r="E3" s="110" t="s">
        <v>14</v>
      </c>
      <c r="F3" s="110"/>
      <c r="G3" s="97"/>
      <c r="H3" s="2"/>
      <c r="I3" s="2"/>
      <c r="J3" s="2"/>
      <c r="L3" s="2"/>
    </row>
    <row r="4" spans="1:12" ht="22.5" customHeight="1" x14ac:dyDescent="0.2">
      <c r="B4" s="1"/>
      <c r="C4" s="1"/>
      <c r="D4" s="1"/>
      <c r="E4" s="2" t="s">
        <v>2</v>
      </c>
      <c r="F4" s="1"/>
      <c r="G4" s="1"/>
      <c r="H4" s="1"/>
      <c r="I4" s="1"/>
      <c r="J4" s="1"/>
      <c r="K4" s="12"/>
      <c r="L4" s="1"/>
    </row>
    <row r="5" spans="1:12" ht="11.25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ht="45.75" customHeight="1" x14ac:dyDescent="0.2">
      <c r="A6" s="111" t="s">
        <v>3</v>
      </c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</row>
    <row r="7" spans="1:12" ht="17.25" customHeight="1" x14ac:dyDescent="0.2">
      <c r="A7" s="4" t="s">
        <v>15</v>
      </c>
      <c r="B7" s="112" t="s">
        <v>35</v>
      </c>
      <c r="C7" s="112"/>
      <c r="D7" s="112"/>
      <c r="E7" s="4" t="s">
        <v>16</v>
      </c>
      <c r="F7" s="105">
        <f>Paramètres!B3</f>
        <v>0</v>
      </c>
      <c r="G7" s="105"/>
      <c r="H7" s="105"/>
      <c r="I7" s="94"/>
      <c r="J7" s="4" t="s">
        <v>29</v>
      </c>
      <c r="K7" s="47" t="s">
        <v>76</v>
      </c>
    </row>
    <row r="8" spans="1:12" ht="9" customHeight="1" thickBot="1" x14ac:dyDescent="0.25">
      <c r="A8" s="3"/>
    </row>
    <row r="9" spans="1:12" ht="59.1" customHeight="1" x14ac:dyDescent="0.2">
      <c r="A9" s="69" t="s">
        <v>4</v>
      </c>
      <c r="B9" s="5" t="s">
        <v>5</v>
      </c>
      <c r="C9" s="61" t="s">
        <v>6</v>
      </c>
      <c r="D9" s="6" t="s">
        <v>7</v>
      </c>
      <c r="E9" s="66" t="s">
        <v>8</v>
      </c>
      <c r="F9" s="5" t="s">
        <v>9</v>
      </c>
      <c r="G9" cm="1">
        <f t="array" ref="G9">COUNTA(_xlfn.UNIQUE(_xlfn._xlws.FILTER( Tbl_tache[Trajet],(Tbl_tache[Profession]=Annexe!B7)*(Tbl_tache[Type examen]=Annexe!K7),"")))</f>
        <v>1</v>
      </c>
      <c r="H9" s="8" t="s">
        <v>25</v>
      </c>
      <c r="I9" s="8" t="s">
        <v>77</v>
      </c>
      <c r="J9" s="6" t="s">
        <v>10</v>
      </c>
      <c r="K9" s="7" t="s">
        <v>11</v>
      </c>
    </row>
    <row r="10" spans="1:12" ht="19.5" customHeight="1" x14ac:dyDescent="0.2">
      <c r="A10" s="70" t="str" cm="1">
        <f t="array" ref="A10">_xlfn.UNIQUE(_xlfn._xlws.FILTER( Tbl_tache[Description],(Tbl_tache[Profession]=Annexe!B7)*(Tbl_tache[Type examen]=Annexe!K7),""))</f>
        <v/>
      </c>
      <c r="B10" s="71">
        <f>SUMIFS(Tbl_tache[Heures],Tbl_tache[Description],$A10,Tbl_tache[Type examen],$K$7,Tbl_tache[Profession],$B$7,Tbl_tache[Tâche],"Préparation")</f>
        <v>0</v>
      </c>
      <c r="C10" s="72">
        <f>SUMIFS(Tbl_tache[Heures],Tbl_tache[Description],$A10,Tbl_tache[Type examen],$K$7,Tbl_tache[Profession],$B$7,Tbl_tache[Tâche],"Examen TP/ Oral")</f>
        <v>0</v>
      </c>
      <c r="D10" s="72">
        <f>SUMIFS(Tbl_tache[Heures],Tbl_tache[Description],$A10,Tbl_tache[Type examen],$K$7,Tbl_tache[Profession],$B$7,Tbl_tache[Tâche],"Surveillance")</f>
        <v>0</v>
      </c>
      <c r="E10" s="73">
        <f>SUMIFS(Tbl_tache[Heures],Tbl_tache[Description],$A10,Tbl_tache[Type examen],$K$7,Tbl_tache[Profession],$B$7,Tbl_tache[Tâche],"Corrections")</f>
        <v>0</v>
      </c>
      <c r="F10" s="74">
        <f>SUMIFS(Tbl_tache[Km],Tbl_tache[Description],$A10,Tbl_tache[Type examen],$K$7,Tbl_tache[Profession],$B$7)</f>
        <v>0</v>
      </c>
      <c r="G10" s="74" t="str" cm="1">
        <f t="array" ref="G10">INDEX(_xlfn.UNIQUE(_xlfn._xlws.FILTER( Tbl_tache[Trajet],(Tbl_tache[Profession]=Annexe!B7)*(Tbl_tache[Type examen]=Annexe!K7),"")),1)</f>
        <v/>
      </c>
      <c r="H10" s="75"/>
      <c r="I10" s="74">
        <f>SUMIFS(Tbl_tache[Parking],Tbl_tache[Description],$A10,Tbl_tache[Type examen],$K$7,Tbl_tache[Profession],$B$7)</f>
        <v>0</v>
      </c>
      <c r="J10" s="76">
        <f>SUMIFS(Tbl_tache[Repas],Tbl_tache[Description],$A10,Tbl_tache[Type examen],$K$7,Tbl_tache[Profession],$B$7)</f>
        <v>0</v>
      </c>
      <c r="K10" s="102">
        <f>SUMIFS(Tbl_tache[Divers],Tbl_tache[Description],$A10,Tbl_tache[Type examen],$K$7,Tbl_tache[Profession],$B$7)</f>
        <v>0</v>
      </c>
    </row>
    <row r="11" spans="1:12" ht="19.5" customHeight="1" x14ac:dyDescent="0.2">
      <c r="A11" s="70"/>
      <c r="B11" s="71">
        <f>SUMIFS(Tbl_tache[Heures],Tbl_tache[Description],$A11,Tbl_tache[Type examen],$K$7,Tbl_tache[Profession],$B$7,Tbl_tache[Tâche],"Préparation")</f>
        <v>0</v>
      </c>
      <c r="C11" s="72">
        <f>SUMIFS(Tbl_tache[Heures],Tbl_tache[Description],$A11,Tbl_tache[Type examen],$K$7,Tbl_tache[Profession],$B$7,Tbl_tache[Tâche],"Examen TP/ Oral")</f>
        <v>0</v>
      </c>
      <c r="D11" s="72">
        <f>SUMIFS(Tbl_tache[Heures],Tbl_tache[Description],$A11,Tbl_tache[Type examen],$K$7,Tbl_tache[Profession],$B$7,Tbl_tache[Tâche],"Surveillance")</f>
        <v>0</v>
      </c>
      <c r="E11" s="73">
        <f>SUMIFS(Tbl_tache[Heures],Tbl_tache[Description],$A11,Tbl_tache[Type examen],$K$7,Tbl_tache[Profession],$B$7,Tbl_tache[Tâche],"Corrections")</f>
        <v>0</v>
      </c>
      <c r="F11" s="74">
        <f>SUMIFS(Tbl_tache[Km],Tbl_tache[Description],$A11,Tbl_tache[Type examen],$K$7,Tbl_tache[Profession],$B$7)</f>
        <v>0</v>
      </c>
      <c r="G11" s="74" t="str" cm="1">
        <f t="array" ref="G11">IF(G9&gt;1,INDEX(_xlfn.UNIQUE(_xlfn._xlws.FILTER( Tbl_tache[Trajet],(Tbl_tache[Profession]=Annexe!B7)*(Tbl_tache[Type examen]=Annexe!K7),"")),2),"")</f>
        <v/>
      </c>
      <c r="H11" s="75"/>
      <c r="I11" s="74">
        <f>SUMIFS(Tbl_tache[Parking],Tbl_tache[Description],$A11,Tbl_tache[Type examen],$K$7,Tbl_tache[Profession],$B$7)</f>
        <v>0</v>
      </c>
      <c r="J11" s="76">
        <f>SUMIFS(Tbl_tache[Repas],Tbl_tache[Description],$A11,Tbl_tache[Type examen],$K$7,Tbl_tache[Profession],$B$7)</f>
        <v>0</v>
      </c>
      <c r="K11" s="102">
        <f>SUMIFS(Tbl_tache[Divers],Tbl_tache[Description],$A11,Tbl_tache[Type examen],$K$7,Tbl_tache[Profession],$B$7)</f>
        <v>0</v>
      </c>
    </row>
    <row r="12" spans="1:12" ht="19.5" customHeight="1" x14ac:dyDescent="0.2">
      <c r="A12" s="70"/>
      <c r="B12" s="71">
        <f>SUMIFS(Tbl_tache[Heures],Tbl_tache[Description],$A12,Tbl_tache[Type examen],$K$7,Tbl_tache[Profession],$B$7,Tbl_tache[Tâche],"Préparation")</f>
        <v>0</v>
      </c>
      <c r="C12" s="72">
        <f>SUMIFS(Tbl_tache[Heures],Tbl_tache[Description],$A12,Tbl_tache[Type examen],$K$7,Tbl_tache[Profession],$B$7,Tbl_tache[Tâche],"Examen TP/ Oral")</f>
        <v>0</v>
      </c>
      <c r="D12" s="72">
        <f>SUMIFS(Tbl_tache[Heures],Tbl_tache[Description],$A12,Tbl_tache[Type examen],$K$7,Tbl_tache[Profession],$B$7,Tbl_tache[Tâche],"Surveillance")</f>
        <v>0</v>
      </c>
      <c r="E12" s="73">
        <f>SUMIFS(Tbl_tache[Heures],Tbl_tache[Description],$A12,Tbl_tache[Type examen],$K$7,Tbl_tache[Profession],$B$7,Tbl_tache[Tâche],"Corrections")</f>
        <v>0</v>
      </c>
      <c r="F12" s="74">
        <f>SUMIFS(Tbl_tache[Km],Tbl_tache[Description],$A12,Tbl_tache[Type examen],$K$7,Tbl_tache[Profession],$B$7)</f>
        <v>0</v>
      </c>
      <c r="G12" s="74"/>
      <c r="H12" s="75"/>
      <c r="I12" s="74">
        <f>SUMIFS(Tbl_tache[Parking],Tbl_tache[Description],$A12,Tbl_tache[Type examen],$K$7,Tbl_tache[Profession],$B$7)</f>
        <v>0</v>
      </c>
      <c r="J12" s="76">
        <f>SUMIFS(Tbl_tache[Repas],Tbl_tache[Description],$A12,Tbl_tache[Type examen],$K$7,Tbl_tache[Profession],$B$7)</f>
        <v>0</v>
      </c>
      <c r="K12" s="102">
        <f>SUMIFS(Tbl_tache[Divers],Tbl_tache[Description],$A12,Tbl_tache[Type examen],$K$7,Tbl_tache[Profession],$B$7)</f>
        <v>0</v>
      </c>
    </row>
    <row r="13" spans="1:12" ht="19.5" customHeight="1" x14ac:dyDescent="0.2">
      <c r="A13" s="70"/>
      <c r="B13" s="71">
        <f>SUMIFS(Tbl_tache[Heures],Tbl_tache[Description],$A13,Tbl_tache[Type examen],$K$7,Tbl_tache[Profession],$B$7,Tbl_tache[Tâche],"Préparation")</f>
        <v>0</v>
      </c>
      <c r="C13" s="72">
        <f>SUMIFS(Tbl_tache[Heures],Tbl_tache[Description],$A13,Tbl_tache[Type examen],$K$7,Tbl_tache[Profession],$B$7,Tbl_tache[Tâche],"Examen TP/ Oral")</f>
        <v>0</v>
      </c>
      <c r="D13" s="72">
        <f>SUMIFS(Tbl_tache[Heures],Tbl_tache[Description],$A13,Tbl_tache[Type examen],$K$7,Tbl_tache[Profession],$B$7,Tbl_tache[Tâche],"Surveillance")</f>
        <v>0</v>
      </c>
      <c r="E13" s="73">
        <f>SUMIFS(Tbl_tache[Heures],Tbl_tache[Description],$A13,Tbl_tache[Type examen],$K$7,Tbl_tache[Profession],$B$7,Tbl_tache[Tâche],"Corrections")</f>
        <v>0</v>
      </c>
      <c r="F13" s="74">
        <f>SUMIFS(Tbl_tache[Km],Tbl_tache[Description],$A13,Tbl_tache[Type examen],$K$7,Tbl_tache[Profession],$B$7)</f>
        <v>0</v>
      </c>
      <c r="G13" s="74"/>
      <c r="H13" s="75"/>
      <c r="I13" s="74">
        <f>SUMIFS(Tbl_tache[Parking],Tbl_tache[Description],$A13,Tbl_tache[Type examen],$K$7,Tbl_tache[Profession],$B$7)</f>
        <v>0</v>
      </c>
      <c r="J13" s="76">
        <f>SUMIFS(Tbl_tache[Repas],Tbl_tache[Description],$A13,Tbl_tache[Type examen],$K$7,Tbl_tache[Profession],$B$7)</f>
        <v>0</v>
      </c>
      <c r="K13" s="102">
        <f>SUMIFS(Tbl_tache[Divers],Tbl_tache[Description],$A13,Tbl_tache[Type examen],$K$7,Tbl_tache[Profession],$B$7)</f>
        <v>0</v>
      </c>
    </row>
    <row r="14" spans="1:12" ht="19.5" customHeight="1" x14ac:dyDescent="0.2">
      <c r="A14" s="70"/>
      <c r="B14" s="71">
        <f>SUMIFS(Tbl_tache[Heures],Tbl_tache[Description],$A14,Tbl_tache[Type examen],$K$7,Tbl_tache[Profession],$B$7,Tbl_tache[Tâche],"Préparation")</f>
        <v>0</v>
      </c>
      <c r="C14" s="72">
        <f>SUMIFS(Tbl_tache[Heures],Tbl_tache[Description],$A14,Tbl_tache[Type examen],$K$7,Tbl_tache[Profession],$B$7,Tbl_tache[Tâche],"Examen TP/ Oral")</f>
        <v>0</v>
      </c>
      <c r="D14" s="72">
        <f>SUMIFS(Tbl_tache[Heures],Tbl_tache[Description],$A14,Tbl_tache[Type examen],$K$7,Tbl_tache[Profession],$B$7,Tbl_tache[Tâche],"Surveillance")</f>
        <v>0</v>
      </c>
      <c r="E14" s="73">
        <f>SUMIFS(Tbl_tache[Heures],Tbl_tache[Description],$A14,Tbl_tache[Type examen],$K$7,Tbl_tache[Profession],$B$7,Tbl_tache[Tâche],"Corrections")</f>
        <v>0</v>
      </c>
      <c r="F14" s="74">
        <f>SUMIFS(Tbl_tache[Km],Tbl_tache[Description],$A14,Tbl_tache[Type examen],$K$7,Tbl_tache[Profession],$B$7)</f>
        <v>0</v>
      </c>
      <c r="G14" s="74"/>
      <c r="H14" s="75"/>
      <c r="I14" s="74">
        <f>SUMIFS(Tbl_tache[Parking],Tbl_tache[Description],$A14,Tbl_tache[Type examen],$K$7,Tbl_tache[Profession],$B$7)</f>
        <v>0</v>
      </c>
      <c r="J14" s="76">
        <f>SUMIFS(Tbl_tache[Repas],Tbl_tache[Description],$A14,Tbl_tache[Type examen],$K$7,Tbl_tache[Profession],$B$7)</f>
        <v>0</v>
      </c>
      <c r="K14" s="102">
        <f>SUMIFS(Tbl_tache[Divers],Tbl_tache[Description],$A14,Tbl_tache[Type examen],$K$7,Tbl_tache[Profession],$B$7)</f>
        <v>0</v>
      </c>
    </row>
    <row r="15" spans="1:12" ht="19.5" customHeight="1" x14ac:dyDescent="0.2">
      <c r="A15" s="70"/>
      <c r="B15" s="71">
        <f>SUMIFS(Tbl_tache[Heures],Tbl_tache[Description],$A15,Tbl_tache[Type examen],$K$7,Tbl_tache[Profession],$B$7,Tbl_tache[Tâche],"Préparation")</f>
        <v>0</v>
      </c>
      <c r="C15" s="72">
        <f>SUMIFS(Tbl_tache[Heures],Tbl_tache[Description],$A15,Tbl_tache[Type examen],$K$7,Tbl_tache[Profession],$B$7,Tbl_tache[Tâche],"Examen TP/ Oral")</f>
        <v>0</v>
      </c>
      <c r="D15" s="72">
        <f>SUMIFS(Tbl_tache[Heures],Tbl_tache[Description],$A15,Tbl_tache[Type examen],$K$7,Tbl_tache[Profession],$B$7,Tbl_tache[Tâche],"Surveillance")</f>
        <v>0</v>
      </c>
      <c r="E15" s="73">
        <f>SUMIFS(Tbl_tache[Heures],Tbl_tache[Description],$A15,Tbl_tache[Type examen],$K$7,Tbl_tache[Profession],$B$7,Tbl_tache[Tâche],"Corrections")</f>
        <v>0</v>
      </c>
      <c r="F15" s="74">
        <f>SUMIFS(Tbl_tache[Km],Tbl_tache[Description],$A15,Tbl_tache[Type examen],$K$7,Tbl_tache[Profession],$B$7)</f>
        <v>0</v>
      </c>
      <c r="G15" s="74"/>
      <c r="H15" s="75"/>
      <c r="I15" s="74">
        <f>SUMIFS(Tbl_tache[Parking],Tbl_tache[Description],$A15,Tbl_tache[Type examen],$K$7,Tbl_tache[Profession],$B$7)</f>
        <v>0</v>
      </c>
      <c r="J15" s="76">
        <f>SUMIFS(Tbl_tache[Repas],Tbl_tache[Description],$A15,Tbl_tache[Type examen],$K$7,Tbl_tache[Profession],$B$7)</f>
        <v>0</v>
      </c>
      <c r="K15" s="102">
        <f>SUMIFS(Tbl_tache[Divers],Tbl_tache[Description],$A15,Tbl_tache[Type examen],$K$7,Tbl_tache[Profession],$B$7)</f>
        <v>0</v>
      </c>
    </row>
    <row r="16" spans="1:12" ht="19.5" customHeight="1" x14ac:dyDescent="0.2">
      <c r="A16" s="70"/>
      <c r="B16" s="71">
        <f>SUMIFS(Tbl_tache[Heures],Tbl_tache[Description],$A16,Tbl_tache[Type examen],$K$7,Tbl_tache[Profession],$B$7,Tbl_tache[Tâche],"Préparation")</f>
        <v>0</v>
      </c>
      <c r="C16" s="72">
        <f>SUMIFS(Tbl_tache[Heures],Tbl_tache[Description],$A16,Tbl_tache[Type examen],$K$7,Tbl_tache[Profession],$B$7,Tbl_tache[Tâche],"Examen TP/ Oral")</f>
        <v>0</v>
      </c>
      <c r="D16" s="72">
        <f>SUMIFS(Tbl_tache[Heures],Tbl_tache[Description],$A16,Tbl_tache[Type examen],$K$7,Tbl_tache[Profession],$B$7,Tbl_tache[Tâche],"Surveillance")</f>
        <v>0</v>
      </c>
      <c r="E16" s="73">
        <f>SUMIFS(Tbl_tache[Heures],Tbl_tache[Description],$A16,Tbl_tache[Type examen],$K$7,Tbl_tache[Profession],$B$7,Tbl_tache[Tâche],"Corrections")</f>
        <v>0</v>
      </c>
      <c r="F16" s="74">
        <f>SUMIFS(Tbl_tache[Km],Tbl_tache[Description],$A16,Tbl_tache[Type examen],$K$7,Tbl_tache[Profession],$B$7)</f>
        <v>0</v>
      </c>
      <c r="G16" s="74"/>
      <c r="H16" s="75"/>
      <c r="I16" s="74">
        <f>SUMIFS(Tbl_tache[Parking],Tbl_tache[Description],$A16,Tbl_tache[Type examen],$K$7,Tbl_tache[Profession],$B$7)</f>
        <v>0</v>
      </c>
      <c r="J16" s="76">
        <f>SUMIFS(Tbl_tache[Repas],Tbl_tache[Description],$A16,Tbl_tache[Type examen],$K$7,Tbl_tache[Profession],$B$7)</f>
        <v>0</v>
      </c>
      <c r="K16" s="102">
        <f>SUMIFS(Tbl_tache[Divers],Tbl_tache[Description],$A16,Tbl_tache[Type examen],$K$7,Tbl_tache[Profession],$B$7)</f>
        <v>0</v>
      </c>
    </row>
    <row r="17" spans="1:12" ht="19.5" customHeight="1" x14ac:dyDescent="0.2">
      <c r="A17" s="70"/>
      <c r="B17" s="71">
        <f>SUMIFS(Tbl_tache[Heures],Tbl_tache[Description],$A17,Tbl_tache[Type examen],$K$7,Tbl_tache[Profession],$B$7,Tbl_tache[Tâche],"Préparation")</f>
        <v>0</v>
      </c>
      <c r="C17" s="72">
        <f>SUMIFS(Tbl_tache[Heures],Tbl_tache[Description],$A17,Tbl_tache[Type examen],$K$7,Tbl_tache[Profession],$B$7,Tbl_tache[Tâche],"Examen TP/ Oral")</f>
        <v>0</v>
      </c>
      <c r="D17" s="72">
        <f>SUMIFS(Tbl_tache[Heures],Tbl_tache[Description],$A17,Tbl_tache[Type examen],$K$7,Tbl_tache[Profession],$B$7,Tbl_tache[Tâche],"Surveillance")</f>
        <v>0</v>
      </c>
      <c r="E17" s="73">
        <f>SUMIFS(Tbl_tache[Heures],Tbl_tache[Description],$A17,Tbl_tache[Type examen],$K$7,Tbl_tache[Profession],$B$7,Tbl_tache[Tâche],"Corrections")</f>
        <v>0</v>
      </c>
      <c r="F17" s="74">
        <f>SUMIFS(Tbl_tache[Km],Tbl_tache[Description],$A17,Tbl_tache[Type examen],$K$7,Tbl_tache[Profession],$B$7)</f>
        <v>0</v>
      </c>
      <c r="G17" s="74"/>
      <c r="H17" s="75"/>
      <c r="I17" s="74">
        <f>SUMIFS(Tbl_tache[Parking],Tbl_tache[Description],$A17,Tbl_tache[Type examen],$K$7,Tbl_tache[Profession],$B$7)</f>
        <v>0</v>
      </c>
      <c r="J17" s="76">
        <f>SUMIFS(Tbl_tache[Repas],Tbl_tache[Description],$A17,Tbl_tache[Type examen],$K$7,Tbl_tache[Profession],$B$7)</f>
        <v>0</v>
      </c>
      <c r="K17" s="102">
        <f>SUMIFS(Tbl_tache[Divers],Tbl_tache[Description],$A17,Tbl_tache[Type examen],$K$7,Tbl_tache[Profession],$B$7)</f>
        <v>0</v>
      </c>
    </row>
    <row r="18" spans="1:12" ht="19.5" customHeight="1" thickBot="1" x14ac:dyDescent="0.25">
      <c r="A18" s="77"/>
      <c r="B18" s="71">
        <f>SUMIFS(Tbl_tache[Heures],Tbl_tache[Description],$A18,Tbl_tache[Type examen],$K$7,Tbl_tache[Profession],$B$7,Tbl_tache[Tâche],"Préparation")</f>
        <v>0</v>
      </c>
      <c r="C18" s="72">
        <f>SUMIFS(Tbl_tache[Heures],Tbl_tache[Description],$A18,Tbl_tache[Type examen],$K$7,Tbl_tache[Profession],$B$7,Tbl_tache[Tâche],"Examen TP/ Oral")</f>
        <v>0</v>
      </c>
      <c r="D18" s="72">
        <f>SUMIFS(Tbl_tache[Heures],Tbl_tache[Description],$A18,Tbl_tache[Type examen],$K$7,Tbl_tache[Profession],$B$7,Tbl_tache[Tâche],"Surveillance")</f>
        <v>0</v>
      </c>
      <c r="E18" s="73">
        <f>SUMIFS(Tbl_tache[Heures],Tbl_tache[Description],$A18,Tbl_tache[Type examen],$K$7,Tbl_tache[Profession],$B$7,Tbl_tache[Tâche],"Corrections")</f>
        <v>0</v>
      </c>
      <c r="F18" s="74">
        <f>SUMIFS(Tbl_tache[Km],Tbl_tache[Description],$A18,Tbl_tache[Type examen],$K$7,Tbl_tache[Profession],$B$7)</f>
        <v>0</v>
      </c>
      <c r="G18" s="74"/>
      <c r="H18" s="75"/>
      <c r="I18" s="74">
        <f>SUMIFS(Tbl_tache[Parking],Tbl_tache[Description],$A18,Tbl_tache[Type examen],$K$7,Tbl_tache[Profession],$B$7)</f>
        <v>0</v>
      </c>
      <c r="J18" s="76">
        <f>SUMIFS(Tbl_tache[Repas],Tbl_tache[Description],$A18,Tbl_tache[Type examen],$K$7,Tbl_tache[Profession],$B$7)</f>
        <v>0</v>
      </c>
      <c r="K18" s="102">
        <f>SUMIFS(Tbl_tache[Divers],Tbl_tache[Description],$A18,Tbl_tache[Type examen],$K$7,Tbl_tache[Profession],$B$7)</f>
        <v>0</v>
      </c>
    </row>
    <row r="19" spans="1:12" ht="12.75" customHeight="1" x14ac:dyDescent="0.2">
      <c r="A19" s="106" t="s">
        <v>12</v>
      </c>
      <c r="B19" s="43" t="s">
        <v>17</v>
      </c>
      <c r="C19" s="44" t="s">
        <v>18</v>
      </c>
      <c r="D19" s="44" t="s">
        <v>19</v>
      </c>
      <c r="E19" s="45" t="s">
        <v>20</v>
      </c>
      <c r="F19" s="43" t="s">
        <v>21</v>
      </c>
      <c r="G19" s="100"/>
      <c r="H19" s="44" t="s">
        <v>22</v>
      </c>
      <c r="I19" s="44"/>
      <c r="J19" s="44" t="s">
        <v>23</v>
      </c>
      <c r="K19" s="46" t="s">
        <v>24</v>
      </c>
    </row>
    <row r="20" spans="1:12" ht="16.5" customHeight="1" thickBot="1" x14ac:dyDescent="0.25">
      <c r="A20" s="107"/>
      <c r="B20" s="78">
        <f>SUM(B10:B18)</f>
        <v>0</v>
      </c>
      <c r="C20" s="79">
        <f t="shared" ref="C20:K20" si="0">SUM(C10:C18)</f>
        <v>0</v>
      </c>
      <c r="D20" s="79">
        <f t="shared" si="0"/>
        <v>0</v>
      </c>
      <c r="E20" s="80">
        <f t="shared" si="0"/>
        <v>0</v>
      </c>
      <c r="F20" s="81">
        <f>SUM(F10:F18)</f>
        <v>0</v>
      </c>
      <c r="G20" s="101"/>
      <c r="H20" s="79">
        <f>SUM(H10:H18)</f>
        <v>0</v>
      </c>
      <c r="I20" s="81">
        <f>SUM(I10:I18)</f>
        <v>0</v>
      </c>
      <c r="J20" s="82">
        <f t="shared" si="0"/>
        <v>0</v>
      </c>
      <c r="K20" s="80">
        <f t="shared" si="0"/>
        <v>0</v>
      </c>
      <c r="L20" s="2"/>
    </row>
    <row r="21" spans="1:12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/>
    </row>
    <row r="22" spans="1:12" ht="15.75" customHeight="1" x14ac:dyDescent="0.2">
      <c r="A22" s="104" t="s">
        <v>13</v>
      </c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</row>
    <row r="23" spans="1:12" ht="10.5" customHeight="1" x14ac:dyDescent="0.2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ht="8.25" customHeight="1" x14ac:dyDescent="0.2"/>
    <row r="25" spans="1:12" ht="33" customHeight="1" x14ac:dyDescent="0.2">
      <c r="A25" s="103" t="s">
        <v>26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</row>
  </sheetData>
  <mergeCells count="9">
    <mergeCell ref="A25:L25"/>
    <mergeCell ref="F7:H7"/>
    <mergeCell ref="A19:A20"/>
    <mergeCell ref="E1:H1"/>
    <mergeCell ref="E2:H2"/>
    <mergeCell ref="E3:F3"/>
    <mergeCell ref="A6:L6"/>
    <mergeCell ref="A22:L22"/>
    <mergeCell ref="B7:D7"/>
  </mergeCells>
  <dataValidations count="1">
    <dataValidation type="list" allowBlank="1" showInputMessage="1" showErrorMessage="1" sqref="K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7</xdr:col>
                    <xdr:colOff>819150</xdr:colOff>
                    <xdr:row>0</xdr:row>
                    <xdr:rowOff>333375</xdr:rowOff>
                  </from>
                  <to>
                    <xdr:col>10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H92"/>
  <sheetViews>
    <sheetView workbookViewId="0">
      <selection activeCell="I6" sqref="I6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customWidth="1"/>
    <col min="7" max="7" width="17.5" style="3" customWidth="1"/>
    <col min="8" max="8" width="11.33203125" style="3" customWidth="1"/>
    <col min="9" max="9" width="12" style="3" customWidth="1"/>
    <col min="10" max="10" width="13.5" style="3" customWidth="1"/>
    <col min="11" max="12" width="12" style="3" customWidth="1"/>
    <col min="13" max="13" width="12.6640625" style="3" customWidth="1"/>
    <col min="14" max="16384" width="12" style="3"/>
  </cols>
  <sheetData>
    <row r="1" spans="1:8" ht="12.75" customHeight="1" thickBot="1" x14ac:dyDescent="0.25"/>
    <row r="2" spans="1:8" ht="12.75" customHeight="1" thickBot="1" x14ac:dyDescent="0.25">
      <c r="A2" s="21" t="s">
        <v>36</v>
      </c>
      <c r="B2" s="22" t="s">
        <v>54</v>
      </c>
      <c r="C2" s="23" t="s">
        <v>55</v>
      </c>
      <c r="E2" s="35" t="s">
        <v>50</v>
      </c>
      <c r="G2" s="24"/>
      <c r="H2" s="15" t="s">
        <v>43</v>
      </c>
    </row>
    <row r="3" spans="1:8" ht="12.75" customHeight="1" x14ac:dyDescent="0.2">
      <c r="A3" s="39" t="s">
        <v>37</v>
      </c>
      <c r="B3" s="48"/>
      <c r="C3" s="54"/>
      <c r="E3" s="36" t="s">
        <v>63</v>
      </c>
      <c r="G3" s="16" t="s">
        <v>28</v>
      </c>
      <c r="H3" s="18">
        <v>36</v>
      </c>
    </row>
    <row r="4" spans="1:8" ht="12.75" customHeight="1" x14ac:dyDescent="0.2">
      <c r="A4" s="13" t="s">
        <v>70</v>
      </c>
      <c r="B4" s="49"/>
      <c r="C4" s="20"/>
      <c r="E4" s="36" t="s">
        <v>64</v>
      </c>
      <c r="G4" s="16" t="s">
        <v>44</v>
      </c>
      <c r="H4" s="18">
        <v>36</v>
      </c>
    </row>
    <row r="5" spans="1:8" ht="12.75" customHeight="1" thickBot="1" x14ac:dyDescent="0.25">
      <c r="A5" s="16" t="s">
        <v>69</v>
      </c>
      <c r="B5" s="50"/>
      <c r="C5" s="40"/>
      <c r="E5" s="36" t="s">
        <v>76</v>
      </c>
      <c r="G5" s="16" t="s">
        <v>45</v>
      </c>
      <c r="H5" s="18">
        <v>18</v>
      </c>
    </row>
    <row r="6" spans="1:8" ht="12.75" customHeight="1" x14ac:dyDescent="0.2">
      <c r="A6" s="13" t="s">
        <v>51</v>
      </c>
      <c r="B6" s="49"/>
      <c r="C6" s="20"/>
      <c r="E6" s="35" t="s">
        <v>28</v>
      </c>
      <c r="G6" s="16" t="s">
        <v>46</v>
      </c>
      <c r="H6" s="18">
        <v>36</v>
      </c>
    </row>
    <row r="7" spans="1:8" ht="12.75" customHeight="1" x14ac:dyDescent="0.2">
      <c r="A7" s="13" t="s">
        <v>53</v>
      </c>
      <c r="B7" s="51"/>
      <c r="C7" s="20"/>
      <c r="E7" s="36" t="s">
        <v>67</v>
      </c>
      <c r="G7" s="16" t="s">
        <v>47</v>
      </c>
      <c r="H7" s="18">
        <v>0.74</v>
      </c>
    </row>
    <row r="8" spans="1:8" ht="12.75" customHeight="1" thickBot="1" x14ac:dyDescent="0.25">
      <c r="A8" s="13" t="s">
        <v>52</v>
      </c>
      <c r="B8" s="67"/>
      <c r="C8" s="20"/>
      <c r="E8" s="36" t="s">
        <v>45</v>
      </c>
      <c r="G8" s="17" t="s">
        <v>48</v>
      </c>
      <c r="H8" s="19">
        <v>23</v>
      </c>
    </row>
    <row r="9" spans="1:8" ht="12.75" customHeight="1" x14ac:dyDescent="0.2">
      <c r="A9" s="13" t="s">
        <v>38</v>
      </c>
      <c r="B9" s="49"/>
      <c r="C9" s="55"/>
      <c r="E9" s="36" t="s">
        <v>30</v>
      </c>
    </row>
    <row r="10" spans="1:8" ht="12.75" customHeight="1" thickBot="1" x14ac:dyDescent="0.25">
      <c r="A10" s="13" t="s">
        <v>39</v>
      </c>
      <c r="B10" s="52"/>
      <c r="C10" s="55"/>
      <c r="E10" s="37" t="s">
        <v>76</v>
      </c>
    </row>
    <row r="11" spans="1:8" ht="12.75" customHeight="1" x14ac:dyDescent="0.2">
      <c r="A11" s="13" t="s">
        <v>40</v>
      </c>
      <c r="B11" s="52"/>
      <c r="C11" s="68"/>
      <c r="E11" s="85"/>
    </row>
    <row r="12" spans="1:8" ht="12.75" customHeight="1" x14ac:dyDescent="0.2">
      <c r="A12" s="13" t="s">
        <v>41</v>
      </c>
      <c r="B12" s="52"/>
      <c r="C12" s="55"/>
    </row>
    <row r="13" spans="1:8" ht="12.75" customHeight="1" thickBot="1" x14ac:dyDescent="0.25">
      <c r="A13" s="14" t="s">
        <v>42</v>
      </c>
      <c r="B13" s="53"/>
      <c r="C13" s="56"/>
    </row>
    <row r="14" spans="1:8" ht="12.75" customHeight="1" x14ac:dyDescent="0.2"/>
    <row r="15" spans="1:8" ht="12.75" customHeight="1" x14ac:dyDescent="0.2"/>
    <row r="16" spans="1:8" ht="12.75" customHeight="1" x14ac:dyDescent="0.2">
      <c r="A16" s="3" t="s">
        <v>56</v>
      </c>
      <c r="B16" s="3" t="s">
        <v>75</v>
      </c>
    </row>
    <row r="17" spans="1:2" ht="12.75" customHeight="1" x14ac:dyDescent="0.2">
      <c r="A17" s="57" t="s">
        <v>35</v>
      </c>
      <c r="B17" s="57">
        <v>47416</v>
      </c>
    </row>
    <row r="18" spans="1:2" ht="12.75" customHeight="1" x14ac:dyDescent="0.2">
      <c r="A18" s="57" t="s">
        <v>57</v>
      </c>
      <c r="B18" s="57">
        <v>47426</v>
      </c>
    </row>
    <row r="19" spans="1:2" ht="12.75" customHeight="1" x14ac:dyDescent="0.2">
      <c r="A19" s="57" t="s">
        <v>71</v>
      </c>
      <c r="B19" s="57">
        <v>45705</v>
      </c>
    </row>
    <row r="20" spans="1:2" ht="12.75" customHeight="1" x14ac:dyDescent="0.2">
      <c r="A20" s="57" t="s">
        <v>72</v>
      </c>
      <c r="B20" s="57">
        <v>45716</v>
      </c>
    </row>
    <row r="21" spans="1:2" ht="12.75" customHeight="1" x14ac:dyDescent="0.2">
      <c r="A21" s="57" t="s">
        <v>73</v>
      </c>
      <c r="B21" s="57">
        <v>45906</v>
      </c>
    </row>
    <row r="22" spans="1:2" ht="12.75" customHeight="1" x14ac:dyDescent="0.2">
      <c r="A22" s="57" t="s">
        <v>74</v>
      </c>
      <c r="B22" s="57">
        <v>64208</v>
      </c>
    </row>
    <row r="23" spans="1:2" ht="12.75" customHeight="1" x14ac:dyDescent="0.2">
      <c r="A23" s="57"/>
      <c r="B23" s="57"/>
    </row>
    <row r="24" spans="1:2" x14ac:dyDescent="0.2">
      <c r="A24" s="57"/>
      <c r="B24" s="57"/>
    </row>
    <row r="25" spans="1:2" x14ac:dyDescent="0.2">
      <c r="A25" s="57"/>
      <c r="B25" s="57"/>
    </row>
    <row r="26" spans="1:2" x14ac:dyDescent="0.2">
      <c r="A26" s="57"/>
      <c r="B26" s="57"/>
    </row>
    <row r="27" spans="1:2" x14ac:dyDescent="0.2">
      <c r="A27" s="57"/>
      <c r="B27" s="57"/>
    </row>
    <row r="28" spans="1:2" x14ac:dyDescent="0.2">
      <c r="A28" s="57"/>
      <c r="B28" s="57"/>
    </row>
    <row r="29" spans="1:2" x14ac:dyDescent="0.2">
      <c r="A29" s="57"/>
      <c r="B29" s="57"/>
    </row>
    <row r="30" spans="1:2" x14ac:dyDescent="0.2">
      <c r="A30" s="57"/>
      <c r="B30" s="57"/>
    </row>
    <row r="31" spans="1:2" x14ac:dyDescent="0.2">
      <c r="A31" s="57"/>
      <c r="B31" s="57"/>
    </row>
    <row r="32" spans="1:2" x14ac:dyDescent="0.2">
      <c r="A32" s="57"/>
      <c r="B32" s="57"/>
    </row>
    <row r="33" spans="1:2" x14ac:dyDescent="0.2">
      <c r="A33" s="57"/>
      <c r="B33" s="57"/>
    </row>
    <row r="34" spans="1:2" x14ac:dyDescent="0.2">
      <c r="A34" s="57"/>
      <c r="B34" s="57"/>
    </row>
    <row r="35" spans="1:2" x14ac:dyDescent="0.2">
      <c r="A35" s="57"/>
      <c r="B35" s="57"/>
    </row>
    <row r="36" spans="1:2" x14ac:dyDescent="0.2">
      <c r="A36" s="57"/>
      <c r="B36" s="57"/>
    </row>
    <row r="37" spans="1:2" x14ac:dyDescent="0.2">
      <c r="A37" s="57"/>
      <c r="B37" s="57"/>
    </row>
    <row r="38" spans="1:2" x14ac:dyDescent="0.2">
      <c r="A38" s="57"/>
      <c r="B38" s="57"/>
    </row>
    <row r="39" spans="1:2" x14ac:dyDescent="0.2">
      <c r="A39" s="57"/>
      <c r="B39" s="57"/>
    </row>
    <row r="40" spans="1:2" x14ac:dyDescent="0.2">
      <c r="A40" s="57"/>
      <c r="B40" s="57"/>
    </row>
    <row r="41" spans="1:2" x14ac:dyDescent="0.2">
      <c r="A41" s="57"/>
      <c r="B41" s="57"/>
    </row>
    <row r="42" spans="1:2" x14ac:dyDescent="0.2">
      <c r="A42" s="57"/>
      <c r="B42" s="57"/>
    </row>
    <row r="43" spans="1:2" x14ac:dyDescent="0.2">
      <c r="A43" s="57"/>
      <c r="B43" s="57"/>
    </row>
    <row r="44" spans="1:2" x14ac:dyDescent="0.2">
      <c r="A44" s="57"/>
      <c r="B44" s="57"/>
    </row>
    <row r="45" spans="1:2" x14ac:dyDescent="0.2">
      <c r="A45" s="57"/>
      <c r="B45" s="57"/>
    </row>
    <row r="46" spans="1:2" x14ac:dyDescent="0.2">
      <c r="A46" s="57"/>
      <c r="B46" s="57"/>
    </row>
    <row r="47" spans="1:2" x14ac:dyDescent="0.2">
      <c r="A47" s="57"/>
      <c r="B47" s="57"/>
    </row>
    <row r="48" spans="1:2" x14ac:dyDescent="0.2">
      <c r="A48" s="57"/>
      <c r="B48" s="57"/>
    </row>
    <row r="49" spans="1:2" x14ac:dyDescent="0.2">
      <c r="A49" s="57"/>
      <c r="B49" s="57"/>
    </row>
    <row r="50" spans="1:2" x14ac:dyDescent="0.2">
      <c r="A50" s="57"/>
      <c r="B50" s="57"/>
    </row>
    <row r="51" spans="1:2" x14ac:dyDescent="0.2">
      <c r="A51" s="57"/>
      <c r="B51" s="57"/>
    </row>
    <row r="52" spans="1:2" x14ac:dyDescent="0.2">
      <c r="A52" s="57"/>
      <c r="B52" s="57"/>
    </row>
    <row r="53" spans="1:2" x14ac:dyDescent="0.2">
      <c r="A53" s="57"/>
      <c r="B53" s="57"/>
    </row>
    <row r="54" spans="1:2" x14ac:dyDescent="0.2">
      <c r="A54" s="57"/>
      <c r="B54" s="57"/>
    </row>
    <row r="55" spans="1:2" x14ac:dyDescent="0.2">
      <c r="A55" s="57"/>
      <c r="B55" s="57"/>
    </row>
    <row r="56" spans="1:2" x14ac:dyDescent="0.2">
      <c r="A56" s="57"/>
      <c r="B56" s="57"/>
    </row>
    <row r="57" spans="1:2" x14ac:dyDescent="0.2">
      <c r="A57" s="57"/>
      <c r="B57" s="57"/>
    </row>
    <row r="58" spans="1:2" x14ac:dyDescent="0.2">
      <c r="A58" s="57"/>
      <c r="B58" s="57"/>
    </row>
    <row r="59" spans="1:2" x14ac:dyDescent="0.2">
      <c r="A59" s="57"/>
      <c r="B59" s="57"/>
    </row>
    <row r="60" spans="1:2" x14ac:dyDescent="0.2">
      <c r="A60" s="57"/>
      <c r="B60" s="57"/>
    </row>
    <row r="61" spans="1:2" x14ac:dyDescent="0.2">
      <c r="A61" s="57"/>
      <c r="B61" s="57"/>
    </row>
    <row r="62" spans="1:2" x14ac:dyDescent="0.2">
      <c r="A62" s="57"/>
      <c r="B62" s="57"/>
    </row>
    <row r="63" spans="1:2" x14ac:dyDescent="0.2">
      <c r="A63" s="57"/>
      <c r="B63" s="57"/>
    </row>
    <row r="64" spans="1:2" x14ac:dyDescent="0.2">
      <c r="A64" s="57"/>
      <c r="B64" s="57"/>
    </row>
    <row r="65" spans="1:2" x14ac:dyDescent="0.2">
      <c r="A65" s="57"/>
      <c r="B65" s="57"/>
    </row>
    <row r="66" spans="1:2" x14ac:dyDescent="0.2">
      <c r="A66" s="57"/>
      <c r="B66" s="57"/>
    </row>
    <row r="67" spans="1:2" x14ac:dyDescent="0.2">
      <c r="A67" s="57"/>
      <c r="B67" s="57"/>
    </row>
    <row r="68" spans="1:2" x14ac:dyDescent="0.2">
      <c r="A68" s="57"/>
      <c r="B68" s="57"/>
    </row>
    <row r="69" spans="1:2" x14ac:dyDescent="0.2">
      <c r="A69" s="57"/>
      <c r="B69" s="57"/>
    </row>
    <row r="70" spans="1:2" x14ac:dyDescent="0.2">
      <c r="A70" s="57"/>
      <c r="B70" s="57"/>
    </row>
    <row r="71" spans="1:2" x14ac:dyDescent="0.2">
      <c r="A71" s="57"/>
      <c r="B71" s="57"/>
    </row>
    <row r="72" spans="1:2" x14ac:dyDescent="0.2">
      <c r="A72" s="57"/>
      <c r="B72" s="57"/>
    </row>
    <row r="73" spans="1:2" x14ac:dyDescent="0.2">
      <c r="A73" s="57"/>
      <c r="B73" s="57"/>
    </row>
    <row r="74" spans="1:2" x14ac:dyDescent="0.2">
      <c r="A74" s="57"/>
      <c r="B74" s="57"/>
    </row>
    <row r="75" spans="1:2" x14ac:dyDescent="0.2">
      <c r="A75" s="57"/>
      <c r="B75" s="57"/>
    </row>
    <row r="76" spans="1:2" x14ac:dyDescent="0.2">
      <c r="A76" s="57"/>
      <c r="B76" s="57"/>
    </row>
    <row r="77" spans="1:2" x14ac:dyDescent="0.2">
      <c r="A77" s="57"/>
      <c r="B77" s="57"/>
    </row>
    <row r="78" spans="1:2" x14ac:dyDescent="0.2">
      <c r="A78" s="57"/>
      <c r="B78" s="57"/>
    </row>
    <row r="79" spans="1:2" x14ac:dyDescent="0.2">
      <c r="A79" s="57"/>
      <c r="B79" s="57"/>
    </row>
    <row r="80" spans="1:2" x14ac:dyDescent="0.2">
      <c r="A80" s="57"/>
      <c r="B80" s="57"/>
    </row>
    <row r="81" spans="1:2" x14ac:dyDescent="0.2">
      <c r="A81" s="57"/>
      <c r="B81" s="57"/>
    </row>
    <row r="82" spans="1:2" x14ac:dyDescent="0.2">
      <c r="A82" s="57"/>
      <c r="B82" s="57"/>
    </row>
    <row r="83" spans="1:2" x14ac:dyDescent="0.2">
      <c r="A83" s="57"/>
      <c r="B83" s="57"/>
    </row>
    <row r="84" spans="1:2" x14ac:dyDescent="0.2">
      <c r="A84" s="57"/>
      <c r="B84" s="57"/>
    </row>
    <row r="85" spans="1:2" x14ac:dyDescent="0.2">
      <c r="A85" s="57"/>
      <c r="B85" s="57"/>
    </row>
    <row r="86" spans="1:2" x14ac:dyDescent="0.2">
      <c r="A86" s="57"/>
      <c r="B86" s="57"/>
    </row>
    <row r="87" spans="1:2" x14ac:dyDescent="0.2">
      <c r="A87" s="57"/>
      <c r="B87" s="57"/>
    </row>
    <row r="88" spans="1:2" x14ac:dyDescent="0.2">
      <c r="A88" s="57"/>
      <c r="B88" s="57"/>
    </row>
    <row r="89" spans="1:2" x14ac:dyDescent="0.2">
      <c r="A89" s="57"/>
      <c r="B89" s="57"/>
    </row>
    <row r="90" spans="1:2" x14ac:dyDescent="0.2">
      <c r="A90" s="57"/>
      <c r="B90" s="57"/>
    </row>
    <row r="91" spans="1:2" x14ac:dyDescent="0.2">
      <c r="A91" s="57"/>
      <c r="B91" s="57"/>
    </row>
    <row r="92" spans="1:2" x14ac:dyDescent="0.2">
      <c r="A92" s="57"/>
      <c r="B92" s="57"/>
    </row>
  </sheetData>
  <dataValidations count="1">
    <dataValidation type="list" allowBlank="1" showInputMessage="1" showErrorMessage="1" sqref="B5" xr:uid="{8248DFF8-3755-43DE-8126-A7AD1E007260}">
      <formula1>"Salarié, Indépendant, AVS"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51</vt:i4>
      </vt:variant>
    </vt:vector>
  </HeadingPairs>
  <TitlesOfParts>
    <vt:vector size="54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CorrH</vt:lpstr>
      <vt:lpstr>DateMax</vt:lpstr>
      <vt:lpstr>DateMin</vt:lpstr>
      <vt:lpstr>DateNaiss</vt:lpstr>
      <vt:lpstr>DeplKM</vt:lpstr>
      <vt:lpstr>DeplKMsDeA_1</vt:lpstr>
      <vt:lpstr>DeplKMsDeA_2</vt:lpstr>
      <vt:lpstr>DeplTP</vt:lpstr>
      <vt:lpstr>EmplNom</vt:lpstr>
      <vt:lpstr>ExaTypeFact</vt:lpstr>
      <vt:lpstr>ExpNom</vt:lpstr>
      <vt:lpstr>FraisPark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2025-06-22T14:15:18Z</cp:lastPrinted>
  <dcterms:created xsi:type="dcterms:W3CDTF">2024-05-04T14:25:16Z</dcterms:created>
  <dcterms:modified xsi:type="dcterms:W3CDTF">2025-06-22T14:31:53Z</dcterms:modified>
</cp:coreProperties>
</file>